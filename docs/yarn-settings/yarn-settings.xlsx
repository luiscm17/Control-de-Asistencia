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es" sheetId="1" r:id="rId4"/>
    <sheet state="visible" name="Martes" sheetId="2" r:id="rId5"/>
    <sheet state="visible" name="Miércoles" sheetId="3" r:id="rId6"/>
    <sheet state="visible" name="Jueves" sheetId="4" r:id="rId7"/>
    <sheet state="visible" name="Viernes" sheetId="5" r:id="rId8"/>
    <sheet state="visible" name="Sábado" sheetId="6" r:id="rId9"/>
    <sheet state="visible" name="Domingo" sheetId="7" r:id="rId10"/>
  </sheets>
  <definedNames/>
  <calcPr/>
  <extLst>
    <ext uri="GoogleSheetsCustomDataVersion2">
      <go:sheetsCustomData xmlns:go="http://customooxmlschemas.google.com/" r:id="rId11" roundtripDataChecksum="aPvr0XvDacuzoXgALtCpZIiQpgbz5LqjESdoDGBkh5k="/>
    </ext>
  </extLst>
</workbook>
</file>

<file path=xl/sharedStrings.xml><?xml version="1.0" encoding="utf-8"?>
<sst xmlns="http://schemas.openxmlformats.org/spreadsheetml/2006/main" count="1624" uniqueCount="61">
  <si>
    <t>JR</t>
  </si>
  <si>
    <t>SISTEMA DE CONTROL DE PRODUCCIÓN - ÁREA RETORCIDO</t>
  </si>
  <si>
    <t>FECHA:</t>
  </si>
  <si>
    <t>DÍA:</t>
  </si>
  <si>
    <t>ESTÁNDARES DE PRODUCCIÓN POR FRENTE</t>
  </si>
  <si>
    <t>CALCULADORA - ÁREA DE CONTINUAS</t>
  </si>
  <si>
    <t>Título de Hilo</t>
  </si>
  <si>
    <t>Kg por 1 Frente</t>
  </si>
  <si>
    <t>Título</t>
  </si>
  <si>
    <t>Cant. Frentes</t>
  </si>
  <si>
    <t>Kg / Frente (Auto)</t>
  </si>
  <si>
    <t>Producción Total (Kg)</t>
  </si>
  <si>
    <t>TOTAL:</t>
  </si>
  <si>
    <t>-</t>
  </si>
  <si>
    <t>PRODUCCIÓN - ÁREA DE RETORCIDO (POR FRENTES ASIGNADOS)</t>
  </si>
  <si>
    <t>RESUMEN DE PRODUCCIÓN POR TÍTULO (8 HORAS)</t>
  </si>
  <si>
    <t>Máquina</t>
  </si>
  <si>
    <t>Cabos</t>
  </si>
  <si>
    <t>Título Asignado</t>
  </si>
  <si>
    <t>Frentes de Continua
Asignados</t>
  </si>
  <si>
    <t>Producción por DÍA
(Kg Neto / 24hrs)</t>
  </si>
  <si>
    <t>Producción por TURNO
(Kg Neto / 8hrs)</t>
  </si>
  <si>
    <t>Cant. Lotes / Día
(204 kg)</t>
  </si>
  <si>
    <t>Lotes Totales x Día
(Mismo Cabo/Tít.)</t>
  </si>
  <si>
    <t>Producción REAL
(Descargada 8h)</t>
  </si>
  <si>
    <t>Objetivo (Kg)</t>
  </si>
  <si>
    <t>Real (Kg)</t>
  </si>
  <si>
    <t>Cumplido (Verde)</t>
  </si>
  <si>
    <t>Falta (Rojo)</t>
  </si>
  <si>
    <t>Retorcedora 1</t>
  </si>
  <si>
    <t>Retorcedora 2</t>
  </si>
  <si>
    <t>Retorcedora 3</t>
  </si>
  <si>
    <t>Retorcedora 4</t>
  </si>
  <si>
    <t>Retorcedora 5</t>
  </si>
  <si>
    <t>Retorcedora 6</t>
  </si>
  <si>
    <t>Retorcedora 7</t>
  </si>
  <si>
    <t>Retorcedora 8</t>
  </si>
  <si>
    <t>Retorcedora 9</t>
  </si>
  <si>
    <t>Retorcedora 10</t>
  </si>
  <si>
    <t>TOTAL ÁREA RETORCIDO:</t>
  </si>
  <si>
    <t>RETORCEDORA 1</t>
  </si>
  <si>
    <t>Objetivo 8h (Kg):</t>
  </si>
  <si>
    <t>Total Descargado (A+B):</t>
  </si>
  <si>
    <t>Descarga #</t>
  </si>
  <si>
    <t>Lado</t>
  </si>
  <si>
    <t>Peso Bruto (Kg)</t>
  </si>
  <si>
    <t>Usos (Conos)</t>
  </si>
  <si>
    <t>Peso Cono (Kg)</t>
  </si>
  <si>
    <t>Peso Tacho (Kg)</t>
  </si>
  <si>
    <t>Peso Neto (Kg)</t>
  </si>
  <si>
    <t>Lado A</t>
  </si>
  <si>
    <t>Lado B</t>
  </si>
  <si>
    <t>RETORCEDORA 2</t>
  </si>
  <si>
    <t>RETORCEDORA 3</t>
  </si>
  <si>
    <t>RETORCEDORA 4</t>
  </si>
  <si>
    <t>RETORCEDORA 5</t>
  </si>
  <si>
    <t>RETORCEDORA 6</t>
  </si>
  <si>
    <t>RETORCEDORA 7</t>
  </si>
  <si>
    <t>RETORCEDORA 8</t>
  </si>
  <si>
    <t>RETORCEDORA 9</t>
  </si>
  <si>
    <t>RETORCEDORA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</si>
</sst>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rgb="FF000000"/>
      <name val="Arial"/>
      <scheme val="minor"/>
    </font>
    <font>
      <b/>
      <sz val="36.0"/>
      <color rgb="FFFFFFFF"/>
      <name val="Arial"/>
      <scheme val="minor"/>
    </font>
    <font/>
    <font>
      <b/>
      <sz val="16.0"/>
      <color rgb="FF1F4E79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  <font>
      <b/>
      <sz val="12.0"/>
      <color rgb="FFC00000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385723"/>
      <name val="Arial"/>
      <scheme val="minor"/>
    </font>
    <font>
      <b/>
      <color rgb="FFC00000"/>
      <name val="Arial"/>
      <scheme val="minor"/>
    </font>
    <font>
      <b/>
      <sz val="10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85723"/>
        <bgColor rgb="FF385723"/>
      </patternFill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</fills>
  <borders count="13">
    <border/>
    <border>
      <left style="thin">
        <color rgb="FFA6A6A6"/>
      </left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right" vertical="center"/>
    </xf>
    <xf borderId="7" fillId="3" fontId="5" numFmtId="164" xfId="0" applyBorder="1" applyFill="1" applyFont="1" applyNumberFormat="1"/>
    <xf borderId="8" fillId="0" fontId="2" numFmtId="0" xfId="0" applyBorder="1" applyFont="1"/>
    <xf borderId="7" fillId="3" fontId="5" numFmtId="164" xfId="0" applyAlignment="1" applyBorder="1" applyFill="1" applyFont="1" applyNumberFormat="1">
      <alignment readingOrder="0"/>
    </xf>
    <xf borderId="7" fillId="4" fontId="6" numFmtId="0" xfId="0" applyAlignment="1" applyBorder="1" applyFill="1" applyFont="1">
      <alignment horizontal="center" shrinkToFit="0" vertical="center" wrapText="1"/>
    </xf>
    <xf borderId="9" fillId="2" fontId="7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5" fontId="8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6" fontId="9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horizontal="center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11" fillId="10" fontId="8" numFmtId="0" xfId="0" applyAlignment="1" applyBorder="1" applyFill="1" applyFont="1">
      <alignment horizontal="center" shrinkToFit="0" vertical="center" wrapText="1"/>
    </xf>
    <xf borderId="11" fillId="11" fontId="8" numFmtId="0" xfId="0" applyAlignment="1" applyBorder="1" applyFill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1" fillId="12" fontId="9" numFmtId="2" xfId="0" applyAlignment="1" applyBorder="1" applyFill="1" applyFont="1" applyNumberFormat="1">
      <alignment horizontal="center" shrinkToFit="0" vertical="center" wrapText="1"/>
    </xf>
    <xf borderId="11" fillId="0" fontId="5" numFmtId="2" xfId="0" applyAlignment="1" applyBorder="1" applyFont="1" applyNumberFormat="1">
      <alignment horizontal="center" shrinkToFit="0" vertical="center" wrapText="1"/>
    </xf>
    <xf borderId="11" fillId="10" fontId="9" numFmtId="2" xfId="0" applyAlignment="1" applyBorder="1" applyFill="1" applyFont="1" applyNumberFormat="1">
      <alignment horizontal="center" shrinkToFit="0" vertical="center" wrapText="1"/>
    </xf>
    <xf borderId="11" fillId="5" fontId="9" numFmtId="2" xfId="0" applyAlignment="1" applyBorder="1" applyFill="1" applyFont="1" applyNumberFormat="1">
      <alignment horizontal="center" shrinkToFit="0" vertical="center" wrapText="1"/>
    </xf>
    <xf borderId="11" fillId="0" fontId="10" numFmtId="2" xfId="0" applyAlignment="1" applyBorder="1" applyFont="1" applyNumberFormat="1">
      <alignment horizontal="center" shrinkToFit="0" vertical="center" wrapText="1"/>
    </xf>
    <xf borderId="11" fillId="0" fontId="11" numFmtId="2" xfId="0" applyAlignment="1" applyBorder="1" applyFont="1" applyNumberFormat="1">
      <alignment horizontal="center" shrinkToFit="0" vertical="center" wrapText="1"/>
    </xf>
    <xf borderId="7" fillId="7" fontId="9" numFmtId="0" xfId="0" applyAlignment="1" applyBorder="1" applyFill="1" applyFont="1">
      <alignment horizontal="right" vertical="center"/>
    </xf>
    <xf borderId="12" fillId="0" fontId="2" numFmtId="0" xfId="0" applyBorder="1" applyFont="1"/>
    <xf borderId="11" fillId="7" fontId="9" numFmtId="2" xfId="0" applyAlignment="1" applyBorder="1" applyFill="1" applyFont="1" applyNumberForma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7" fillId="5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right" vertical="center"/>
    </xf>
    <xf borderId="11" fillId="0" fontId="9" numFmtId="2" xfId="0" applyAlignment="1" applyBorder="1" applyFont="1" applyNumberFormat="1">
      <alignment horizontal="center" shrinkToFit="0" vertical="center" wrapText="1"/>
    </xf>
    <xf borderId="11" fillId="14" fontId="12" numFmtId="0" xfId="0" applyAlignment="1" applyBorder="1" applyFill="1" applyFont="1">
      <alignment horizontal="center" shrinkToFit="0" vertical="center" wrapText="1"/>
    </xf>
    <xf borderId="11" fillId="6" fontId="5" numFmtId="0" xfId="0" applyAlignment="1" applyBorder="1" applyFill="1" applyFont="1">
      <alignment horizontal="center" shrinkToFit="0" vertical="center" wrapText="1"/>
    </xf>
    <xf borderId="11" fillId="6" fontId="9" numFmtId="2" xfId="0" applyAlignment="1" applyBorder="1" applyFill="1" applyFont="1" applyNumberFormat="1">
      <alignment horizontal="center" shrinkToFit="0" vertical="center" wrapText="1"/>
    </xf>
    <xf borderId="11" fillId="6" fontId="5" numFmtId="0" xfId="0" applyAlignment="1" applyBorder="1" applyFill="1" applyFont="1">
      <alignment horizontal="center" readingOrder="0" shrinkToFit="0" vertical="center" wrapText="1"/>
    </xf>
    <xf borderId="11" fillId="10" fontId="5" numFmtId="0" xfId="0" applyAlignment="1" applyBorder="1" applyFill="1" applyFont="1">
      <alignment horizontal="center" readingOrder="0" shrinkToFit="0" vertical="center" wrapText="1"/>
    </xf>
    <xf borderId="11" fillId="10" fontId="5" numFmtId="0" xfId="0" applyAlignment="1" applyBorder="1" applyFill="1" applyFont="1">
      <alignment horizontal="center" shrinkToFit="0" vertical="center" wrapText="1"/>
    </xf>
    <xf borderId="11" fillId="10" fontId="9" numFmtId="0" xfId="0" applyAlignment="1" applyBorder="1" applyFill="1" applyFont="1">
      <alignment horizontal="center" shrinkToFit="0" vertical="center" wrapText="1"/>
    </xf>
    <xf borderId="7" fillId="7" fontId="4" numFmtId="0" xfId="0" applyAlignment="1" applyBorder="1" applyFill="1" applyFont="1">
      <alignment horizontal="right" vertical="center"/>
    </xf>
    <xf borderId="11" fillId="7" fontId="4" numFmtId="2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Lunes!$M$32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Lunes!$L$33:$L$42</c:f>
            </c:strRef>
          </c:cat>
          <c:val>
            <c:numRef>
              <c:f>Lunes!$M$33:$M$42</c:f>
              <c:numCache/>
            </c:numRef>
          </c:val>
        </c:ser>
        <c:ser>
          <c:idx val="1"/>
          <c:order val="1"/>
          <c:tx>
            <c:strRef>
              <c:f>Lunes!$O$32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Lunes!$L$33:$L$42</c:f>
            </c:strRef>
          </c:cat>
          <c:val>
            <c:numRef>
              <c:f>Lunes!$O$33:$O$42</c:f>
              <c:numCache/>
            </c:numRef>
          </c:val>
        </c:ser>
        <c:ser>
          <c:idx val="2"/>
          <c:order val="2"/>
          <c:tx>
            <c:strRef>
              <c:f>Lunes!$P$32</c:f>
            </c:strRef>
          </c:tx>
          <c:cat>
            <c:strRef>
              <c:f>Lunes!$L$33:$L$42</c:f>
            </c:strRef>
          </c:cat>
          <c:val>
            <c:numRef>
              <c:f>Lunes!$P$33:$P$42</c:f>
              <c:numCache/>
            </c:numRef>
          </c:val>
        </c:ser>
        <c:axId val="490297979"/>
        <c:axId val="1689029848"/>
      </c:barChart>
      <c:catAx>
        <c:axId val="490297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9029848"/>
      </c:catAx>
      <c:valAx>
        <c:axId val="1689029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2979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Martes!$M$32</c:f>
            </c:strRef>
          </c:tx>
          <c:cat>
            <c:strRef>
              <c:f>Martes!$L$33:$L$42</c:f>
            </c:strRef>
          </c:cat>
          <c:val>
            <c:numRef>
              <c:f>Martes!$M$33:$M$42</c:f>
              <c:numCache/>
            </c:numRef>
          </c:val>
        </c:ser>
        <c:ser>
          <c:idx val="1"/>
          <c:order val="1"/>
          <c:tx>
            <c:strRef>
              <c:f>Martes!$O$32</c:f>
            </c:strRef>
          </c:tx>
          <c:cat>
            <c:strRef>
              <c:f>Martes!$L$33:$L$42</c:f>
            </c:strRef>
          </c:cat>
          <c:val>
            <c:numRef>
              <c:f>Martes!$O$33:$O$42</c:f>
              <c:numCache/>
            </c:numRef>
          </c:val>
        </c:ser>
        <c:ser>
          <c:idx val="2"/>
          <c:order val="2"/>
          <c:tx>
            <c:strRef>
              <c:f>Martes!$P$32</c:f>
            </c:strRef>
          </c:tx>
          <c:cat>
            <c:strRef>
              <c:f>Martes!$L$33:$L$42</c:f>
            </c:strRef>
          </c:cat>
          <c:val>
            <c:numRef>
              <c:f>Martes!$P$33:$P$42</c:f>
              <c:numCache/>
            </c:numRef>
          </c:val>
        </c:ser>
        <c:axId val="1518713804"/>
        <c:axId val="110288494"/>
      </c:barChart>
      <c:catAx>
        <c:axId val="1518713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288494"/>
      </c:catAx>
      <c:valAx>
        <c:axId val="1102884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1871380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'Miércoles'!$M$32</c:f>
            </c:strRef>
          </c:tx>
          <c:cat>
            <c:strRef>
              <c:f>'Miércoles'!$L$33:$L$42</c:f>
            </c:strRef>
          </c:cat>
          <c:val>
            <c:numRef>
              <c:f>'Miércoles'!$M$33:$M$42</c:f>
              <c:numCache/>
            </c:numRef>
          </c:val>
        </c:ser>
        <c:ser>
          <c:idx val="1"/>
          <c:order val="1"/>
          <c:tx>
            <c:strRef>
              <c:f>'Miércoles'!$O$32</c:f>
            </c:strRef>
          </c:tx>
          <c:cat>
            <c:strRef>
              <c:f>'Miércoles'!$L$33:$L$42</c:f>
            </c:strRef>
          </c:cat>
          <c:val>
            <c:numRef>
              <c:f>'Miércoles'!$O$33:$O$42</c:f>
              <c:numCache/>
            </c:numRef>
          </c:val>
        </c:ser>
        <c:ser>
          <c:idx val="2"/>
          <c:order val="2"/>
          <c:tx>
            <c:strRef>
              <c:f>'Miércoles'!$P$32</c:f>
            </c:strRef>
          </c:tx>
          <c:cat>
            <c:strRef>
              <c:f>'Miércoles'!$L$33:$L$42</c:f>
            </c:strRef>
          </c:cat>
          <c:val>
            <c:numRef>
              <c:f>'Miércoles'!$P$33:$P$42</c:f>
              <c:numCache/>
            </c:numRef>
          </c:val>
        </c:ser>
        <c:axId val="758610743"/>
        <c:axId val="2085618600"/>
      </c:barChart>
      <c:catAx>
        <c:axId val="758610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5618600"/>
      </c:catAx>
      <c:valAx>
        <c:axId val="208561860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586107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Jueves!$M$32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Jueves!$L$33:$L$42</c:f>
            </c:strRef>
          </c:cat>
          <c:val>
            <c:numRef>
              <c:f>Jueves!$M$33:$M$42</c:f>
              <c:numCache/>
            </c:numRef>
          </c:val>
        </c:ser>
        <c:ser>
          <c:idx val="1"/>
          <c:order val="1"/>
          <c:tx>
            <c:strRef>
              <c:f>Jueves!$O$32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Jueves!$L$33:$L$42</c:f>
            </c:strRef>
          </c:cat>
          <c:val>
            <c:numRef>
              <c:f>Jueves!$O$33:$O$42</c:f>
              <c:numCache/>
            </c:numRef>
          </c:val>
        </c:ser>
        <c:ser>
          <c:idx val="2"/>
          <c:order val="2"/>
          <c:tx>
            <c:strRef>
              <c:f>Jueves!$P$32</c:f>
            </c:strRef>
          </c:tx>
          <c:cat>
            <c:strRef>
              <c:f>Jueves!$L$33:$L$42</c:f>
            </c:strRef>
          </c:cat>
          <c:val>
            <c:numRef>
              <c:f>Jueves!$P$33:$P$42</c:f>
              <c:numCache/>
            </c:numRef>
          </c:val>
        </c:ser>
        <c:axId val="1031783136"/>
        <c:axId val="772821250"/>
      </c:barChart>
      <c:catAx>
        <c:axId val="103178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2821250"/>
      </c:catAx>
      <c:valAx>
        <c:axId val="7728212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7831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Viernes!$M$32</c:f>
            </c:strRef>
          </c:tx>
          <c:cat>
            <c:strRef>
              <c:f>Viernes!$L$33:$L$42</c:f>
            </c:strRef>
          </c:cat>
          <c:val>
            <c:numRef>
              <c:f>Viernes!$M$33:$M$42</c:f>
              <c:numCache/>
            </c:numRef>
          </c:val>
        </c:ser>
        <c:ser>
          <c:idx val="1"/>
          <c:order val="1"/>
          <c:tx>
            <c:strRef>
              <c:f>Viernes!$O$32</c:f>
            </c:strRef>
          </c:tx>
          <c:cat>
            <c:strRef>
              <c:f>Viernes!$L$33:$L$42</c:f>
            </c:strRef>
          </c:cat>
          <c:val>
            <c:numRef>
              <c:f>Viernes!$O$33:$O$42</c:f>
              <c:numCache/>
            </c:numRef>
          </c:val>
        </c:ser>
        <c:ser>
          <c:idx val="2"/>
          <c:order val="2"/>
          <c:tx>
            <c:strRef>
              <c:f>Viernes!$P$32</c:f>
            </c:strRef>
          </c:tx>
          <c:cat>
            <c:strRef>
              <c:f>Viernes!$L$33:$L$42</c:f>
            </c:strRef>
          </c:cat>
          <c:val>
            <c:numRef>
              <c:f>Viernes!$P$33:$P$42</c:f>
              <c:numCache/>
            </c:numRef>
          </c:val>
        </c:ser>
        <c:axId val="1446788984"/>
        <c:axId val="363598072"/>
      </c:barChart>
      <c:catAx>
        <c:axId val="1446788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3598072"/>
      </c:catAx>
      <c:valAx>
        <c:axId val="3635980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467889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'Sábado'!$M$32</c:f>
            </c:strRef>
          </c:tx>
          <c:cat>
            <c:strRef>
              <c:f>'Sábado'!$L$33:$L$42</c:f>
            </c:strRef>
          </c:cat>
          <c:val>
            <c:numRef>
              <c:f>'Sábado'!$M$33:$M$42</c:f>
              <c:numCache/>
            </c:numRef>
          </c:val>
        </c:ser>
        <c:ser>
          <c:idx val="1"/>
          <c:order val="1"/>
          <c:tx>
            <c:strRef>
              <c:f>'Sábado'!$O$32</c:f>
            </c:strRef>
          </c:tx>
          <c:cat>
            <c:strRef>
              <c:f>'Sábado'!$L$33:$L$42</c:f>
            </c:strRef>
          </c:cat>
          <c:val>
            <c:numRef>
              <c:f>'Sábado'!$O$33:$O$42</c:f>
              <c:numCache/>
            </c:numRef>
          </c:val>
        </c:ser>
        <c:ser>
          <c:idx val="2"/>
          <c:order val="2"/>
          <c:tx>
            <c:strRef>
              <c:f>'Sábado'!$P$32</c:f>
            </c:strRef>
          </c:tx>
          <c:cat>
            <c:strRef>
              <c:f>'Sábado'!$L$33:$L$42</c:f>
            </c:strRef>
          </c:cat>
          <c:val>
            <c:numRef>
              <c:f>'Sábado'!$P$33:$P$42</c:f>
              <c:numCache/>
            </c:numRef>
          </c:val>
        </c:ser>
        <c:axId val="284820884"/>
        <c:axId val="939438359"/>
      </c:barChart>
      <c:catAx>
        <c:axId val="284820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9438359"/>
      </c:catAx>
      <c:valAx>
        <c:axId val="9394383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848208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Objetivo vs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Domingo!$M$32</c:f>
            </c:strRef>
          </c:tx>
          <c:cat>
            <c:strRef>
              <c:f>Domingo!$L$33:$L$42</c:f>
            </c:strRef>
          </c:cat>
          <c:val>
            <c:numRef>
              <c:f>Domingo!$M$33:$M$42</c:f>
              <c:numCache/>
            </c:numRef>
          </c:val>
        </c:ser>
        <c:ser>
          <c:idx val="1"/>
          <c:order val="1"/>
          <c:tx>
            <c:strRef>
              <c:f>Domingo!$O$32</c:f>
            </c:strRef>
          </c:tx>
          <c:cat>
            <c:strRef>
              <c:f>Domingo!$L$33:$L$42</c:f>
            </c:strRef>
          </c:cat>
          <c:val>
            <c:numRef>
              <c:f>Domingo!$O$33:$O$42</c:f>
              <c:numCache/>
            </c:numRef>
          </c:val>
        </c:ser>
        <c:ser>
          <c:idx val="2"/>
          <c:order val="2"/>
          <c:tx>
            <c:strRef>
              <c:f>Domingo!$P$32</c:f>
            </c:strRef>
          </c:tx>
          <c:cat>
            <c:strRef>
              <c:f>Domingo!$L$33:$L$42</c:f>
            </c:strRef>
          </c:cat>
          <c:val>
            <c:numRef>
              <c:f>Domingo!$P$33:$P$42</c:f>
              <c:numCache/>
            </c:numRef>
          </c:val>
        </c:ser>
        <c:axId val="1073391481"/>
        <c:axId val="1682404187"/>
      </c:barChart>
      <c:catAx>
        <c:axId val="1073391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2404187"/>
      </c:catAx>
      <c:valAx>
        <c:axId val="168240418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733914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1057275</xdr:colOff>
      <xdr:row>46</xdr:row>
      <xdr:rowOff>133350</xdr:rowOff>
    </xdr:from>
    <xdr:ext cx="7191375" cy="4371975"/>
    <xdr:graphicFrame>
      <xdr:nvGraphicFramePr>
        <xdr:cNvPr id="54263747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43</xdr:row>
      <xdr:rowOff>0</xdr:rowOff>
    </xdr:from>
    <xdr:ext cx="7191375" cy="4314825"/>
    <xdr:graphicFrame>
      <xdr:nvGraphicFramePr>
        <xdr:cNvPr id="1454740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43</xdr:row>
      <xdr:rowOff>0</xdr:rowOff>
    </xdr:from>
    <xdr:ext cx="7191375" cy="4314825"/>
    <xdr:graphicFrame>
      <xdr:nvGraphicFramePr>
        <xdr:cNvPr id="15969041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43</xdr:row>
      <xdr:rowOff>0</xdr:rowOff>
    </xdr:from>
    <xdr:ext cx="7191375" cy="4314825"/>
    <xdr:graphicFrame>
      <xdr:nvGraphicFramePr>
        <xdr:cNvPr id="171593468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43</xdr:row>
      <xdr:rowOff>0</xdr:rowOff>
    </xdr:from>
    <xdr:ext cx="7191375" cy="4314825"/>
    <xdr:graphicFrame>
      <xdr:nvGraphicFramePr>
        <xdr:cNvPr id="181233512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43</xdr:row>
      <xdr:rowOff>0</xdr:rowOff>
    </xdr:from>
    <xdr:ext cx="7191375" cy="4314825"/>
    <xdr:graphicFrame>
      <xdr:nvGraphicFramePr>
        <xdr:cNvPr id="68940333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43</xdr:row>
      <xdr:rowOff>0</xdr:rowOff>
    </xdr:from>
    <xdr:ext cx="7191375" cy="4314825"/>
    <xdr:graphicFrame>
      <xdr:nvGraphicFramePr>
        <xdr:cNvPr id="165899991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11">
        <v>46268.0</v>
      </c>
      <c r="G4" s="10"/>
      <c r="H4" s="8" t="s">
        <v>3</v>
      </c>
      <c r="J4" s="12" t="str">
        <f>IF(F4="","", CHOOSE(WEEKDAY(F4, 2), "LUNES", "MARTES", "MIÉRCOLES", "JUEVES", "VIERNES", "SÁBADO", "DOMINGO"))</f>
        <v>JUEVES</v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7">
        <v>24.0</v>
      </c>
      <c r="F10" s="17">
        <v>10.0</v>
      </c>
      <c r="G10" s="16">
        <f t="shared" ref="G10:G23" si="1">IFERROR(IF(E10="","",VLOOKUP(E10, $B$10:$C$28, 2, FALSE)), 0)</f>
        <v>120</v>
      </c>
      <c r="H10" s="18">
        <f t="shared" ref="H10:H23" si="2">IF(ISNUMBER(F10*G10), F10*G10, 0)</f>
        <v>1200</v>
      </c>
    </row>
    <row r="11">
      <c r="B11" s="16">
        <v>9.0</v>
      </c>
      <c r="C11" s="16">
        <v>250.0</v>
      </c>
      <c r="E11" s="17">
        <v>40.0</v>
      </c>
      <c r="F11" s="17">
        <v>4.0</v>
      </c>
      <c r="G11" s="16">
        <f t="shared" si="1"/>
        <v>110</v>
      </c>
      <c r="H11" s="18">
        <f t="shared" si="2"/>
        <v>440</v>
      </c>
    </row>
    <row r="12">
      <c r="B12" s="16">
        <v>11.0</v>
      </c>
      <c r="C12" s="16">
        <v>230.0</v>
      </c>
      <c r="E12" s="17">
        <v>13.0</v>
      </c>
      <c r="F12" s="17">
        <v>4.0</v>
      </c>
      <c r="G12" s="16">
        <f t="shared" si="1"/>
        <v>180</v>
      </c>
      <c r="H12" s="18">
        <f t="shared" si="2"/>
        <v>720</v>
      </c>
    </row>
    <row r="13">
      <c r="B13" s="16">
        <v>12.0</v>
      </c>
      <c r="C13" s="16">
        <v>230.0</v>
      </c>
      <c r="E13" s="17">
        <v>11.0</v>
      </c>
      <c r="F13" s="17">
        <v>4.0</v>
      </c>
      <c r="G13" s="16">
        <f t="shared" si="1"/>
        <v>230</v>
      </c>
      <c r="H13" s="18">
        <f t="shared" si="2"/>
        <v>920</v>
      </c>
    </row>
    <row r="14">
      <c r="B14" s="16">
        <v>13.0</v>
      </c>
      <c r="C14" s="16">
        <v>180.0</v>
      </c>
      <c r="E14" s="17">
        <v>9.0</v>
      </c>
      <c r="F14" s="17">
        <v>6.0</v>
      </c>
      <c r="G14" s="16">
        <f t="shared" si="1"/>
        <v>250</v>
      </c>
      <c r="H14" s="18">
        <f t="shared" si="2"/>
        <v>1500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21">
        <v>8.0</v>
      </c>
      <c r="C19" s="21">
        <v>240.0</v>
      </c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28</v>
      </c>
      <c r="G24" s="20" t="s">
        <v>13</v>
      </c>
      <c r="H24" s="20">
        <f>SUM(H10:H23)</f>
        <v>4780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7">
        <v>4.0</v>
      </c>
      <c r="D33" s="17">
        <v>9.0</v>
      </c>
      <c r="E33" s="17">
        <v>4.0</v>
      </c>
      <c r="F33" s="18">
        <f t="shared" ref="F33:F42" si="3">IFERROR(E33 * VLOOKUP(D33, $B$10:$C$28, 2, FALSE), 0)</f>
        <v>1000</v>
      </c>
      <c r="G33" s="27">
        <f t="shared" ref="G33:G42" si="4">IF(ISNUMBER(F33), F33/3, 0)</f>
        <v>333.3333333</v>
      </c>
      <c r="H33" s="28">
        <f t="shared" ref="H33:H42" si="5">IF(F33&gt;0, F33/204, 0)</f>
        <v>4.901960784</v>
      </c>
      <c r="I33" s="29">
        <f t="shared" ref="I33:I42" si="6">IF(AND(C33&lt;&gt;"", D33&lt;&gt;""), SUMIFS($H$33:$H$42, $C$33:$C$42, C33, $D$33:$D$42, D33), 0)</f>
        <v>4.901960784</v>
      </c>
      <c r="J33" s="30">
        <f>I48</f>
        <v>43.32</v>
      </c>
      <c r="L33" s="16">
        <f>IFERROR(__xludf.DUMMYFUNCTION("IFERROR(UNIQUE(FILTER(D33:D42, D33:D42&lt;&gt;"""")), """")"),9.0)</f>
        <v>9</v>
      </c>
      <c r="M33" s="28">
        <f t="shared" ref="M33:M42" si="7">IF(L33="","", SUMIF($D$33:$D$42, L33, $G$33:$G$42))</f>
        <v>500</v>
      </c>
      <c r="N33" s="28">
        <f t="shared" ref="N33:N42" si="8">IF(L33="","", SUMIF($D$33:$D$42, L33, $J$33:$J$42))</f>
        <v>43.32</v>
      </c>
      <c r="O33" s="31" t="str">
        <f t="shared" ref="O33:O42" si="9">IF(L33="","", IF(N33&gt;=M33, N33, NA()))</f>
        <v>#N/A</v>
      </c>
      <c r="P33" s="32">
        <f t="shared" ref="P33:P42" si="10">IF(L33="","", IF(N33&lt;M33, N33, NA()))</f>
        <v>43.32</v>
      </c>
    </row>
    <row r="34" ht="15.75" customHeight="1">
      <c r="B34" s="26" t="s">
        <v>30</v>
      </c>
      <c r="C34" s="17">
        <v>2.0</v>
      </c>
      <c r="D34" s="17">
        <v>24.0</v>
      </c>
      <c r="E34" s="17">
        <v>3.0</v>
      </c>
      <c r="F34" s="18">
        <f t="shared" si="3"/>
        <v>360</v>
      </c>
      <c r="G34" s="27">
        <f t="shared" si="4"/>
        <v>120</v>
      </c>
      <c r="H34" s="28">
        <f t="shared" si="5"/>
        <v>1.764705882</v>
      </c>
      <c r="I34" s="29">
        <f t="shared" si="6"/>
        <v>5.882352941</v>
      </c>
      <c r="J34" s="30">
        <f>I59</f>
        <v>0</v>
      </c>
      <c r="L34" s="16">
        <f>IFERROR(__xludf.DUMMYFUNCTION("""COMPUTED_VALUE"""),24.0)</f>
        <v>24</v>
      </c>
      <c r="M34" s="28">
        <f t="shared" si="7"/>
        <v>400</v>
      </c>
      <c r="N34" s="28">
        <f t="shared" si="8"/>
        <v>0</v>
      </c>
      <c r="O34" s="31" t="str">
        <f t="shared" si="9"/>
        <v>#N/A</v>
      </c>
      <c r="P34" s="32">
        <f t="shared" si="10"/>
        <v>0</v>
      </c>
    </row>
    <row r="35" ht="15.75" customHeight="1">
      <c r="B35" s="26" t="s">
        <v>31</v>
      </c>
      <c r="C35" s="17">
        <v>2.0</v>
      </c>
      <c r="D35" s="17">
        <v>24.0</v>
      </c>
      <c r="E35" s="17">
        <v>4.0</v>
      </c>
      <c r="F35" s="18">
        <f t="shared" si="3"/>
        <v>480</v>
      </c>
      <c r="G35" s="27">
        <f t="shared" si="4"/>
        <v>160</v>
      </c>
      <c r="H35" s="28">
        <f t="shared" si="5"/>
        <v>2.352941176</v>
      </c>
      <c r="I35" s="29">
        <f t="shared" si="6"/>
        <v>5.882352941</v>
      </c>
      <c r="J35" s="30">
        <f>I70</f>
        <v>0</v>
      </c>
      <c r="L35" s="16">
        <f>IFERROR(__xludf.DUMMYFUNCTION("""COMPUTED_VALUE"""),11.0)</f>
        <v>11</v>
      </c>
      <c r="M35" s="28">
        <f t="shared" si="7"/>
        <v>306.6666667</v>
      </c>
      <c r="N35" s="28">
        <f t="shared" si="8"/>
        <v>0</v>
      </c>
      <c r="O35" s="31" t="str">
        <f t="shared" si="9"/>
        <v>#N/A</v>
      </c>
      <c r="P35" s="32">
        <f t="shared" si="10"/>
        <v>0</v>
      </c>
    </row>
    <row r="36" ht="15.75" customHeight="1">
      <c r="B36" s="26" t="s">
        <v>32</v>
      </c>
      <c r="C36" s="17">
        <v>2.0</v>
      </c>
      <c r="D36" s="17">
        <v>24.0</v>
      </c>
      <c r="E36" s="17">
        <v>3.0</v>
      </c>
      <c r="F36" s="18">
        <f t="shared" si="3"/>
        <v>360</v>
      </c>
      <c r="G36" s="27">
        <f t="shared" si="4"/>
        <v>120</v>
      </c>
      <c r="H36" s="28">
        <f t="shared" si="5"/>
        <v>1.764705882</v>
      </c>
      <c r="I36" s="29">
        <f t="shared" si="6"/>
        <v>5.882352941</v>
      </c>
      <c r="J36" s="30">
        <f>I81</f>
        <v>0</v>
      </c>
      <c r="L36" s="16">
        <f>IFERROR(__xludf.DUMMYFUNCTION("""COMPUTED_VALUE"""),40.0)</f>
        <v>40</v>
      </c>
      <c r="M36" s="28">
        <f t="shared" si="7"/>
        <v>146.6666667</v>
      </c>
      <c r="N36" s="28">
        <f t="shared" si="8"/>
        <v>0</v>
      </c>
      <c r="O36" s="31" t="str">
        <f t="shared" si="9"/>
        <v>#N/A</v>
      </c>
      <c r="P36" s="32">
        <f t="shared" si="10"/>
        <v>0</v>
      </c>
    </row>
    <row r="37" ht="15.75" customHeight="1">
      <c r="B37" s="26" t="s">
        <v>33</v>
      </c>
      <c r="C37" s="17">
        <v>3.0</v>
      </c>
      <c r="D37" s="17">
        <v>11.0</v>
      </c>
      <c r="E37" s="17">
        <v>4.0</v>
      </c>
      <c r="F37" s="18">
        <f t="shared" si="3"/>
        <v>920</v>
      </c>
      <c r="G37" s="27">
        <f t="shared" si="4"/>
        <v>306.6666667</v>
      </c>
      <c r="H37" s="28">
        <f t="shared" si="5"/>
        <v>4.509803922</v>
      </c>
      <c r="I37" s="29">
        <f t="shared" si="6"/>
        <v>4.509803922</v>
      </c>
      <c r="J37" s="30">
        <f>I92</f>
        <v>0</v>
      </c>
      <c r="L37" s="16">
        <f>IFERROR(__xludf.DUMMYFUNCTION("""COMPUTED_VALUE"""),13.0)</f>
        <v>13</v>
      </c>
      <c r="M37" s="28">
        <f t="shared" si="7"/>
        <v>240</v>
      </c>
      <c r="N37" s="28">
        <f t="shared" si="8"/>
        <v>0</v>
      </c>
      <c r="O37" s="31" t="str">
        <f t="shared" si="9"/>
        <v>#N/A</v>
      </c>
      <c r="P37" s="32">
        <f t="shared" si="10"/>
        <v>0</v>
      </c>
    </row>
    <row r="38" ht="15.75" customHeight="1">
      <c r="B38" s="26" t="s">
        <v>34</v>
      </c>
      <c r="C38" s="17">
        <v>2.0</v>
      </c>
      <c r="D38" s="17">
        <v>40.0</v>
      </c>
      <c r="E38" s="17">
        <v>4.0</v>
      </c>
      <c r="F38" s="18">
        <f t="shared" si="3"/>
        <v>440</v>
      </c>
      <c r="G38" s="27">
        <f t="shared" si="4"/>
        <v>146.6666667</v>
      </c>
      <c r="H38" s="28">
        <f t="shared" si="5"/>
        <v>2.156862745</v>
      </c>
      <c r="I38" s="29">
        <f t="shared" si="6"/>
        <v>2.156862745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7">
        <v>2.0</v>
      </c>
      <c r="D39" s="17">
        <v>9.0</v>
      </c>
      <c r="E39" s="17">
        <v>2.0</v>
      </c>
      <c r="F39" s="18">
        <f t="shared" si="3"/>
        <v>500</v>
      </c>
      <c r="G39" s="27">
        <f t="shared" si="4"/>
        <v>166.6666667</v>
      </c>
      <c r="H39" s="28">
        <f t="shared" si="5"/>
        <v>2.450980392</v>
      </c>
      <c r="I39" s="29">
        <f t="shared" si="6"/>
        <v>2.450980392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7">
        <v>2.0</v>
      </c>
      <c r="D41" s="17">
        <v>13.0</v>
      </c>
      <c r="E41" s="17">
        <v>4.0</v>
      </c>
      <c r="F41" s="18">
        <f t="shared" si="3"/>
        <v>720</v>
      </c>
      <c r="G41" s="27">
        <f t="shared" si="4"/>
        <v>240</v>
      </c>
      <c r="H41" s="28">
        <f t="shared" si="5"/>
        <v>3.529411765</v>
      </c>
      <c r="I41" s="29">
        <f t="shared" si="6"/>
        <v>3.529411765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28</v>
      </c>
      <c r="F43" s="20">
        <f t="shared" si="11"/>
        <v>4780</v>
      </c>
      <c r="G43" s="35">
        <f t="shared" si="11"/>
        <v>1593.333333</v>
      </c>
      <c r="H43" s="35">
        <f t="shared" si="11"/>
        <v>23.43137255</v>
      </c>
      <c r="I43" s="20" t="s">
        <v>13</v>
      </c>
      <c r="J43" s="35">
        <f>SUM(J33:J42)</f>
        <v>43.32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JUEVES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333.3333333</v>
      </c>
      <c r="G48" s="38" t="s">
        <v>42</v>
      </c>
      <c r="H48" s="10"/>
      <c r="I48" s="39">
        <f>SUM(I50:I57)</f>
        <v>43.32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>
        <f>IF(D33="","", D33)</f>
        <v>9</v>
      </c>
      <c r="E50" s="43">
        <v>60.0</v>
      </c>
      <c r="F50" s="43">
        <v>40.0</v>
      </c>
      <c r="G50" s="43">
        <v>0.037</v>
      </c>
      <c r="H50" s="43">
        <v>15.2</v>
      </c>
      <c r="I50" s="42">
        <f t="shared" ref="I50:I57" si="12">IF(E50="","", E50 - ((IF(F50="",0,F50) * IF(G50="",0,G50)) + IF(H50="",0,H50)))</f>
        <v>43.32</v>
      </c>
    </row>
    <row r="51" ht="15.75" customHeight="1">
      <c r="B51" s="41">
        <v>2.0</v>
      </c>
      <c r="C51" s="18" t="s">
        <v>50</v>
      </c>
      <c r="D51" s="18">
        <f>IF(D33="","", D33)</f>
        <v>9</v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>
        <f>IF(D33="","", D33)</f>
        <v>9</v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>
        <f>IF(D33="","", D33)</f>
        <v>9</v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>
        <f>IF(D33="","", D33)</f>
        <v>9</v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>
        <f>IF(D33="","", D33)</f>
        <v>9</v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>
        <f>IF(D33="","", D33)</f>
        <v>9</v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>
        <f>IF(D33="","", D33)</f>
        <v>9</v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120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>
        <f>IF(D34="","", D34)</f>
        <v>24</v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>
        <f>IF(D34="","", D34)</f>
        <v>24</v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>
        <f>IF(D34="","", D34)</f>
        <v>24</v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>
        <f>IF(D34="","", D34)</f>
        <v>24</v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>
        <f>IF(D34="","", D34)</f>
        <v>24</v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>
        <f>IF(D34="","", D34)</f>
        <v>24</v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>
        <f>IF(D34="","", D34)</f>
        <v>24</v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>
        <f>IF(D34="","", D34)</f>
        <v>24</v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160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>
        <f>IF(D35="","", D35)</f>
        <v>24</v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>
        <f>IF(D35="","", D35)</f>
        <v>24</v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>
        <f>IF(D35="","", D35)</f>
        <v>24</v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>
        <f>IF(D35="","", D35)</f>
        <v>24</v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>
        <f>IF(D35="","", D35)</f>
        <v>24</v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>
        <f>IF(D35="","", D35)</f>
        <v>24</v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>
        <f>IF(D35="","", D35)</f>
        <v>24</v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>
        <f>IF(D35="","", D35)</f>
        <v>24</v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120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>
        <f>IF(D36="","", D36)</f>
        <v>24</v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>
        <f>IF(D36="","", D36)</f>
        <v>24</v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>
        <f>IF(D36="","", D36)</f>
        <v>24</v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>
        <f>IF(D36="","", D36)</f>
        <v>24</v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>
        <f>IF(D36="","", D36)</f>
        <v>24</v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>
        <f>IF(D36="","", D36)</f>
        <v>24</v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>
        <f>IF(D36="","", D36)</f>
        <v>24</v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>
        <f>IF(D36="","", D36)</f>
        <v>24</v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306.6666667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>
        <f>IF(D37="","", D37)</f>
        <v>11</v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>
        <f>IF(D37="","", D37)</f>
        <v>11</v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>
        <f>IF(D37="","", D37)</f>
        <v>11</v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>
        <f>IF(D37="","", D37)</f>
        <v>11</v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>
        <f>IF(D37="","", D37)</f>
        <v>11</v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>
        <f>IF(D37="","", D37)</f>
        <v>11</v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>
        <f>IF(D37="","", D37)</f>
        <v>11</v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>
        <f>IF(D37="","", D37)</f>
        <v>11</v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146.6666667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>
        <f>IF(D38="","", D38)</f>
        <v>40</v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>
        <f>IF(D38="","", D38)</f>
        <v>40</v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>
        <f>IF(D38="","", D38)</f>
        <v>40</v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>
        <f>IF(D38="","", D38)</f>
        <v>40</v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>
        <f>IF(D38="","", D38)</f>
        <v>40</v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>
        <f>IF(D38="","", D38)</f>
        <v>40</v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>
        <f>IF(D38="","", D38)</f>
        <v>40</v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>
        <f>IF(D38="","", D38)</f>
        <v>40</v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166.6666667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>
        <f>IF(D39="","", D39)</f>
        <v>9</v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>
        <f>IF(D39="","", D39)</f>
        <v>9</v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>
        <f>IF(D39="","", D39)</f>
        <v>9</v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>
        <f>IF(D39="","", D39)</f>
        <v>9</v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>
        <f>IF(D39="","", D39)</f>
        <v>9</v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>
        <f>IF(D39="","", D39)</f>
        <v>9</v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>
        <f>IF(D39="","", D39)</f>
        <v>9</v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>
        <f>IF(D39="","", D39)</f>
        <v>9</v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240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>
        <f>IF(D41="","", D41)</f>
        <v>13</v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>
        <f>IF(D41="","", D41)</f>
        <v>13</v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>
        <f>IF(D41="","", D41)</f>
        <v>13</v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>
        <f>IF(D41="","", D41)</f>
        <v>13</v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>
        <f>IF(D41="","", D41)</f>
        <v>13</v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>
        <f>IF(D41="","", D41)</f>
        <v>13</v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>
        <f>IF(D41="","", D41)</f>
        <v>13</v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>
        <f>IF(D41="","", D41)</f>
        <v>13</v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(JUEVES):</v>
      </c>
      <c r="C158" s="34"/>
      <c r="D158" s="34"/>
      <c r="E158" s="34"/>
      <c r="F158" s="34"/>
      <c r="G158" s="34"/>
      <c r="H158" s="10"/>
      <c r="I158" s="48">
        <f>I48+I59+I70+I81+I92+I103+I114+I125+I136+I147</f>
        <v>43.32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9"/>
      <c r="G4" s="10"/>
      <c r="H4" s="8" t="s">
        <v>3</v>
      </c>
      <c r="J4" s="12" t="str">
        <f>IF(F4="","", CHOOSE(WEEKDAY(F4, 2), "LUNES", "MARTES", "MIÉRCOLES", "JUEVES", "VIERNES", "SÁBADO", "DOMINGO"))</f>
        <v/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6"/>
      <c r="F10" s="16"/>
      <c r="G10" s="16" t="str">
        <f t="shared" ref="G10:G23" si="1">IFERROR(IF(E10="","",VLOOKUP(E10, $B$10:$C$28, 2, FALSE)), 0)</f>
        <v/>
      </c>
      <c r="H10" s="18">
        <f t="shared" ref="H10:H23" si="2">IF(ISNUMBER(F10*G10), F10*G10, 0)</f>
        <v>0</v>
      </c>
    </row>
    <row r="11">
      <c r="B11" s="16">
        <v>9.0</v>
      </c>
      <c r="C11" s="16">
        <v>250.0</v>
      </c>
      <c r="E11" s="16"/>
      <c r="F11" s="16"/>
      <c r="G11" s="16" t="str">
        <f t="shared" si="1"/>
        <v/>
      </c>
      <c r="H11" s="18">
        <f t="shared" si="2"/>
        <v>0</v>
      </c>
    </row>
    <row r="12">
      <c r="B12" s="16">
        <v>11.0</v>
      </c>
      <c r="C12" s="16">
        <v>230.0</v>
      </c>
      <c r="E12" s="16"/>
      <c r="F12" s="16"/>
      <c r="G12" s="16" t="str">
        <f t="shared" si="1"/>
        <v/>
      </c>
      <c r="H12" s="18">
        <f t="shared" si="2"/>
        <v>0</v>
      </c>
    </row>
    <row r="13">
      <c r="B13" s="16">
        <v>12.0</v>
      </c>
      <c r="C13" s="16">
        <v>230.0</v>
      </c>
      <c r="E13" s="16"/>
      <c r="F13" s="16"/>
      <c r="G13" s="16" t="str">
        <f t="shared" si="1"/>
        <v/>
      </c>
      <c r="H13" s="18">
        <f t="shared" si="2"/>
        <v>0</v>
      </c>
    </row>
    <row r="14">
      <c r="B14" s="16">
        <v>13.0</v>
      </c>
      <c r="C14" s="16">
        <v>180.0</v>
      </c>
      <c r="E14" s="16"/>
      <c r="F14" s="16"/>
      <c r="G14" s="16" t="str">
        <f t="shared" si="1"/>
        <v/>
      </c>
      <c r="H14" s="18">
        <f t="shared" si="2"/>
        <v>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0</v>
      </c>
      <c r="G24" s="20" t="s">
        <v>13</v>
      </c>
      <c r="H24" s="20">
        <f>SUM(H10:H23)</f>
        <v>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6"/>
      <c r="D33" s="16"/>
      <c r="E33" s="16"/>
      <c r="F33" s="18">
        <f t="shared" ref="F33:F42" si="3">IFERROR(E33 * VLOOKUP(D33, $B$10:$C$28, 2, FALSE), 0)</f>
        <v>0</v>
      </c>
      <c r="G33" s="27">
        <f t="shared" ref="G33:G42" si="4">IF(ISNUMBER(F33), F33/3, 0)</f>
        <v>0</v>
      </c>
      <c r="H33" s="28">
        <f t="shared" ref="H33:H42" si="5">IF(F33&gt;0, F33/204, 0)</f>
        <v>0</v>
      </c>
      <c r="I33" s="29">
        <f t="shared" ref="I33:I42" si="6">IF(AND(C33&lt;&gt;"", D33&lt;&gt;""), SUMIFS($H$33:$H$42, $C$33:$C$42, C33, $D$33:$D$42, D33), 0)</f>
        <v>0</v>
      </c>
      <c r="J33" s="30">
        <f>I48</f>
        <v>0</v>
      </c>
      <c r="L33" s="16" t="str">
        <f>IFERROR(__xludf.DUMMYFUNCTION("IFERROR(UNIQUE(FILTER(D33:D42, D33:D42&lt;&gt;"""")), """")"),"")</f>
        <v/>
      </c>
      <c r="M33" s="28" t="str">
        <f t="shared" ref="M33:M42" si="7">IF(L33="","", SUMIF($D$33:$D$42, L33, $G$33:$G$42))</f>
        <v/>
      </c>
      <c r="N33" s="28" t="str">
        <f t="shared" ref="N33:N42" si="8">IF(L33="","", SUMIF($D$33:$D$42, L33, $J$33:$J$42))</f>
        <v/>
      </c>
      <c r="O33" s="31" t="str">
        <f t="shared" ref="O33:O42" si="9">IF(L33="","", IF(N33&gt;=M33, N33, NA()))</f>
        <v/>
      </c>
      <c r="P33" s="32" t="str">
        <f t="shared" ref="P33:P42" si="10">IF(L33="","", IF(N33&lt;M33, N33, NA()))</f>
        <v/>
      </c>
    </row>
    <row r="34" ht="15.75" customHeight="1">
      <c r="B34" s="26" t="s">
        <v>30</v>
      </c>
      <c r="C34" s="16"/>
      <c r="D34" s="16"/>
      <c r="E34" s="16"/>
      <c r="F34" s="18">
        <f t="shared" si="3"/>
        <v>0</v>
      </c>
      <c r="G34" s="27">
        <f t="shared" si="4"/>
        <v>0</v>
      </c>
      <c r="H34" s="28">
        <f t="shared" si="5"/>
        <v>0</v>
      </c>
      <c r="I34" s="29">
        <f t="shared" si="6"/>
        <v>0</v>
      </c>
      <c r="J34" s="30">
        <f>I59</f>
        <v>0</v>
      </c>
      <c r="L34" s="16"/>
      <c r="M34" s="28" t="str">
        <f t="shared" si="7"/>
        <v/>
      </c>
      <c r="N34" s="28" t="str">
        <f t="shared" si="8"/>
        <v/>
      </c>
      <c r="O34" s="31" t="str">
        <f t="shared" si="9"/>
        <v/>
      </c>
      <c r="P34" s="32" t="str">
        <f t="shared" si="10"/>
        <v/>
      </c>
    </row>
    <row r="35" ht="15.75" customHeight="1">
      <c r="B35" s="26" t="s">
        <v>31</v>
      </c>
      <c r="C35" s="16"/>
      <c r="D35" s="16"/>
      <c r="E35" s="16"/>
      <c r="F35" s="18">
        <f t="shared" si="3"/>
        <v>0</v>
      </c>
      <c r="G35" s="27">
        <f t="shared" si="4"/>
        <v>0</v>
      </c>
      <c r="H35" s="28">
        <f t="shared" si="5"/>
        <v>0</v>
      </c>
      <c r="I35" s="29">
        <f t="shared" si="6"/>
        <v>0</v>
      </c>
      <c r="J35" s="30">
        <f>I70</f>
        <v>0</v>
      </c>
      <c r="L35" s="16"/>
      <c r="M35" s="28" t="str">
        <f t="shared" si="7"/>
        <v/>
      </c>
      <c r="N35" s="28" t="str">
        <f t="shared" si="8"/>
        <v/>
      </c>
      <c r="O35" s="31" t="str">
        <f t="shared" si="9"/>
        <v/>
      </c>
      <c r="P35" s="32" t="str">
        <f t="shared" si="10"/>
        <v/>
      </c>
    </row>
    <row r="36" ht="15.75" customHeight="1">
      <c r="B36" s="26" t="s">
        <v>32</v>
      </c>
      <c r="C36" s="16"/>
      <c r="D36" s="16"/>
      <c r="E36" s="16"/>
      <c r="F36" s="18">
        <f t="shared" si="3"/>
        <v>0</v>
      </c>
      <c r="G36" s="27">
        <f t="shared" si="4"/>
        <v>0</v>
      </c>
      <c r="H36" s="28">
        <f t="shared" si="5"/>
        <v>0</v>
      </c>
      <c r="I36" s="29">
        <f t="shared" si="6"/>
        <v>0</v>
      </c>
      <c r="J36" s="30">
        <f>I81</f>
        <v>0</v>
      </c>
      <c r="L36" s="16"/>
      <c r="M36" s="28" t="str">
        <f t="shared" si="7"/>
        <v/>
      </c>
      <c r="N36" s="28" t="str">
        <f t="shared" si="8"/>
        <v/>
      </c>
      <c r="O36" s="31" t="str">
        <f t="shared" si="9"/>
        <v/>
      </c>
      <c r="P36" s="32" t="str">
        <f t="shared" si="10"/>
        <v/>
      </c>
    </row>
    <row r="37" ht="15.75" customHeight="1">
      <c r="B37" s="26" t="s">
        <v>33</v>
      </c>
      <c r="C37" s="16"/>
      <c r="D37" s="16"/>
      <c r="E37" s="16"/>
      <c r="F37" s="18">
        <f t="shared" si="3"/>
        <v>0</v>
      </c>
      <c r="G37" s="27">
        <f t="shared" si="4"/>
        <v>0</v>
      </c>
      <c r="H37" s="28">
        <f t="shared" si="5"/>
        <v>0</v>
      </c>
      <c r="I37" s="29">
        <f t="shared" si="6"/>
        <v>0</v>
      </c>
      <c r="J37" s="30">
        <f>I92</f>
        <v>0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6"/>
      <c r="D38" s="16"/>
      <c r="E38" s="16"/>
      <c r="F38" s="18">
        <f t="shared" si="3"/>
        <v>0</v>
      </c>
      <c r="G38" s="27">
        <f t="shared" si="4"/>
        <v>0</v>
      </c>
      <c r="H38" s="28">
        <f t="shared" si="5"/>
        <v>0</v>
      </c>
      <c r="I38" s="29">
        <f t="shared" si="6"/>
        <v>0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6"/>
      <c r="D39" s="16"/>
      <c r="E39" s="16"/>
      <c r="F39" s="18">
        <f t="shared" si="3"/>
        <v>0</v>
      </c>
      <c r="G39" s="27">
        <f t="shared" si="4"/>
        <v>0</v>
      </c>
      <c r="H39" s="28">
        <f t="shared" si="5"/>
        <v>0</v>
      </c>
      <c r="I39" s="29">
        <f t="shared" si="6"/>
        <v>0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6"/>
      <c r="D41" s="16"/>
      <c r="E41" s="16"/>
      <c r="F41" s="18">
        <f t="shared" si="3"/>
        <v>0</v>
      </c>
      <c r="G41" s="27">
        <f t="shared" si="4"/>
        <v>0</v>
      </c>
      <c r="H41" s="28">
        <f t="shared" si="5"/>
        <v>0</v>
      </c>
      <c r="I41" s="29">
        <f t="shared" si="6"/>
        <v>0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0</v>
      </c>
      <c r="F43" s="20">
        <f t="shared" si="11"/>
        <v>0</v>
      </c>
      <c r="G43" s="35">
        <f t="shared" si="11"/>
        <v>0</v>
      </c>
      <c r="H43" s="35">
        <f t="shared" si="11"/>
        <v>0</v>
      </c>
      <c r="I43" s="20" t="s">
        <v>13</v>
      </c>
      <c r="J43" s="35">
        <f>SUM(J33:J42)</f>
        <v>0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DÍA NO DEFINIDO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0</v>
      </c>
      <c r="G48" s="38" t="s">
        <v>42</v>
      </c>
      <c r="H48" s="10"/>
      <c r="I48" s="39">
        <f>SUM(I50:I57)</f>
        <v>0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 t="str">
        <f>IF(D33="","", D33)</f>
        <v/>
      </c>
      <c r="E50" s="41"/>
      <c r="F50" s="41"/>
      <c r="G50" s="41"/>
      <c r="H50" s="41"/>
      <c r="I50" s="42" t="str">
        <f t="shared" ref="I50:I57" si="12">IF(E50="","", E50 - ((IF(F50="",0,F50) * IF(G50="",0,G50)) + IF(H50="",0,H50)))</f>
        <v/>
      </c>
    </row>
    <row r="51" ht="15.75" customHeight="1">
      <c r="B51" s="41">
        <v>2.0</v>
      </c>
      <c r="C51" s="18" t="s">
        <v>50</v>
      </c>
      <c r="D51" s="18" t="str">
        <f>IF(D33="","", D33)</f>
        <v/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 t="str">
        <f>IF(D33="","", D33)</f>
        <v/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 t="str">
        <f>IF(D33="","", D33)</f>
        <v/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 t="str">
        <f>IF(D33="","", D33)</f>
        <v/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 t="str">
        <f>IF(D33="","", D33)</f>
        <v/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 t="str">
        <f>IF(D33="","", D33)</f>
        <v/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 t="str">
        <f>IF(D33="","", D33)</f>
        <v/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 t="str">
        <f>IF(D34="","", D34)</f>
        <v/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 t="str">
        <f>IF(D34="","", D34)</f>
        <v/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 t="str">
        <f>IF(D34="","", D34)</f>
        <v/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 t="str">
        <f>IF(D34="","", D34)</f>
        <v/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 t="str">
        <f>IF(D34="","", D34)</f>
        <v/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 t="str">
        <f>IF(D34="","", D34)</f>
        <v/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 t="str">
        <f>IF(D34="","", D34)</f>
        <v/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 t="str">
        <f>IF(D34="","", D34)</f>
        <v/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 t="str">
        <f>IF(D35="","", D35)</f>
        <v/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 t="str">
        <f>IF(D35="","", D35)</f>
        <v/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 t="str">
        <f>IF(D35="","", D35)</f>
        <v/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 t="str">
        <f>IF(D35="","", D35)</f>
        <v/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 t="str">
        <f>IF(D35="","", D35)</f>
        <v/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 t="str">
        <f>IF(D35="","", D35)</f>
        <v/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 t="str">
        <f>IF(D35="","", D35)</f>
        <v/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 t="str">
        <f>IF(D35="","", D35)</f>
        <v/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 t="str">
        <f>IF(D36="","", D36)</f>
        <v/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 t="str">
        <f>IF(D36="","", D36)</f>
        <v/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 t="str">
        <f>IF(D36="","", D36)</f>
        <v/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 t="str">
        <f>IF(D36="","", D36)</f>
        <v/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 t="str">
        <f>IF(D36="","", D36)</f>
        <v/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 t="str">
        <f>IF(D36="","", D36)</f>
        <v/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 t="str">
        <f>IF(D36="","", D36)</f>
        <v/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 t="str">
        <f>IF(D36="","", D36)</f>
        <v/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0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 t="str">
        <f>IF(D37="","", D37)</f>
        <v/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 t="str">
        <f>IF(D37="","", D37)</f>
        <v/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 t="str">
        <f>IF(D37="","", D37)</f>
        <v/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 t="str">
        <f>IF(D37="","", D37)</f>
        <v/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 t="str">
        <f>IF(D37="","", D37)</f>
        <v/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 t="str">
        <f>IF(D37="","", D37)</f>
        <v/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 t="str">
        <f>IF(D37="","", D37)</f>
        <v/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 t="str">
        <f>IF(D37="","", D37)</f>
        <v/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0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 t="str">
        <f>IF(D38="","", D38)</f>
        <v/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 t="str">
        <f>IF(D38="","", D38)</f>
        <v/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 t="str">
        <f>IF(D38="","", D38)</f>
        <v/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 t="str">
        <f>IF(D38="","", D38)</f>
        <v/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 t="str">
        <f>IF(D38="","", D38)</f>
        <v/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 t="str">
        <f>IF(D38="","", D38)</f>
        <v/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 t="str">
        <f>IF(D38="","", D38)</f>
        <v/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 t="str">
        <f>IF(D38="","", D38)</f>
        <v/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0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 t="str">
        <f>IF(D39="","", D39)</f>
        <v/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 t="str">
        <f>IF(D39="","", D39)</f>
        <v/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 t="str">
        <f>IF(D39="","", D39)</f>
        <v/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 t="str">
        <f>IF(D39="","", D39)</f>
        <v/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 t="str">
        <f>IF(D39="","", D39)</f>
        <v/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 t="str">
        <f>IF(D39="","", D39)</f>
        <v/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 t="str">
        <f>IF(D39="","", D39)</f>
        <v/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 t="str">
        <f>IF(D39="","", D39)</f>
        <v/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 t="str">
        <f>IF(D41="","", D41)</f>
        <v/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 t="str">
        <f>IF(D41="","", D41)</f>
        <v/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 t="str">
        <f>IF(D41="","", D41)</f>
        <v/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 t="str">
        <f>IF(D41="","", D41)</f>
        <v/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 t="str">
        <f>IF(D41="","", D41)</f>
        <v/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 t="str">
        <f>IF(D41="","", D41)</f>
        <v/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 t="str">
        <f>IF(D41="","", D41)</f>
        <v/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 t="str">
        <f>IF(D41="","", D41)</f>
        <v/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(DÍA NO DEFINIDO):</v>
      </c>
      <c r="C158" s="34"/>
      <c r="D158" s="34"/>
      <c r="E158" s="34"/>
      <c r="F158" s="34"/>
      <c r="G158" s="34"/>
      <c r="H158" s="10"/>
      <c r="I158" s="48">
        <f>I48+I59+I70+I81+I92+I103+I114+I125+I136+I147</f>
        <v>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9"/>
      <c r="G4" s="10"/>
      <c r="H4" s="8" t="s">
        <v>3</v>
      </c>
      <c r="J4" s="12" t="str">
        <f>IF(F4="","", CHOOSE(WEEKDAY(F4, 2), "LUNES", "MARTES", "MIÉRCOLES", "JUEVES", "VIERNES", "SÁBADO", "DOMINGO"))</f>
        <v/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6"/>
      <c r="F10" s="16"/>
      <c r="G10" s="16" t="str">
        <f t="shared" ref="G10:G23" si="1">IFERROR(IF(E10="","",VLOOKUP(E10, $B$10:$C$28, 2, FALSE)), 0)</f>
        <v/>
      </c>
      <c r="H10" s="18">
        <f t="shared" ref="H10:H23" si="2">IF(ISNUMBER(F10*G10), F10*G10, 0)</f>
        <v>0</v>
      </c>
    </row>
    <row r="11">
      <c r="B11" s="16">
        <v>9.0</v>
      </c>
      <c r="C11" s="16">
        <v>250.0</v>
      </c>
      <c r="E11" s="16"/>
      <c r="F11" s="16"/>
      <c r="G11" s="16" t="str">
        <f t="shared" si="1"/>
        <v/>
      </c>
      <c r="H11" s="18">
        <f t="shared" si="2"/>
        <v>0</v>
      </c>
    </row>
    <row r="12">
      <c r="B12" s="16">
        <v>11.0</v>
      </c>
      <c r="C12" s="16">
        <v>230.0</v>
      </c>
      <c r="E12" s="16"/>
      <c r="F12" s="16"/>
      <c r="G12" s="16" t="str">
        <f t="shared" si="1"/>
        <v/>
      </c>
      <c r="H12" s="18">
        <f t="shared" si="2"/>
        <v>0</v>
      </c>
    </row>
    <row r="13">
      <c r="B13" s="16">
        <v>12.0</v>
      </c>
      <c r="C13" s="16">
        <v>230.0</v>
      </c>
      <c r="E13" s="16"/>
      <c r="F13" s="16"/>
      <c r="G13" s="16" t="str">
        <f t="shared" si="1"/>
        <v/>
      </c>
      <c r="H13" s="18">
        <f t="shared" si="2"/>
        <v>0</v>
      </c>
    </row>
    <row r="14">
      <c r="B14" s="16">
        <v>13.0</v>
      </c>
      <c r="C14" s="16">
        <v>180.0</v>
      </c>
      <c r="E14" s="16"/>
      <c r="F14" s="16"/>
      <c r="G14" s="16" t="str">
        <f t="shared" si="1"/>
        <v/>
      </c>
      <c r="H14" s="18">
        <f t="shared" si="2"/>
        <v>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0</v>
      </c>
      <c r="G24" s="20" t="s">
        <v>13</v>
      </c>
      <c r="H24" s="20">
        <f>SUM(H10:H23)</f>
        <v>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6"/>
      <c r="D33" s="16"/>
      <c r="E33" s="16"/>
      <c r="F33" s="18">
        <f t="shared" ref="F33:F42" si="3">IFERROR(E33 * VLOOKUP(D33, $B$10:$C$28, 2, FALSE), 0)</f>
        <v>0</v>
      </c>
      <c r="G33" s="27">
        <f t="shared" ref="G33:G42" si="4">IF(ISNUMBER(F33), F33/3, 0)</f>
        <v>0</v>
      </c>
      <c r="H33" s="28">
        <f t="shared" ref="H33:H42" si="5">IF(F33&gt;0, F33/204, 0)</f>
        <v>0</v>
      </c>
      <c r="I33" s="29">
        <f t="shared" ref="I33:I42" si="6">IF(AND(C33&lt;&gt;"", D33&lt;&gt;""), SUMIFS($H$33:$H$42, $C$33:$C$42, C33, $D$33:$D$42, D33), 0)</f>
        <v>0</v>
      </c>
      <c r="J33" s="30">
        <f>I48</f>
        <v>0</v>
      </c>
      <c r="L33" s="16" t="str">
        <f>IFERROR(__xludf.DUMMYFUNCTION("IFERROR(UNIQUE(FILTER(D33:D42, D33:D42&lt;&gt;"""")), """")"),"")</f>
        <v/>
      </c>
      <c r="M33" s="28" t="str">
        <f t="shared" ref="M33:M42" si="7">IF(L33="","", SUMIF($D$33:$D$42, L33, $G$33:$G$42))</f>
        <v/>
      </c>
      <c r="N33" s="28" t="str">
        <f t="shared" ref="N33:N42" si="8">IF(L33="","", SUMIF($D$33:$D$42, L33, $J$33:$J$42))</f>
        <v/>
      </c>
      <c r="O33" s="31" t="str">
        <f t="shared" ref="O33:O42" si="9">IF(L33="","", IF(N33&gt;=M33, N33, NA()))</f>
        <v/>
      </c>
      <c r="P33" s="32" t="str">
        <f t="shared" ref="P33:P42" si="10">IF(L33="","", IF(N33&lt;M33, N33, NA()))</f>
        <v/>
      </c>
    </row>
    <row r="34" ht="15.75" customHeight="1">
      <c r="B34" s="26" t="s">
        <v>30</v>
      </c>
      <c r="C34" s="16"/>
      <c r="D34" s="16"/>
      <c r="E34" s="16"/>
      <c r="F34" s="18">
        <f t="shared" si="3"/>
        <v>0</v>
      </c>
      <c r="G34" s="27">
        <f t="shared" si="4"/>
        <v>0</v>
      </c>
      <c r="H34" s="28">
        <f t="shared" si="5"/>
        <v>0</v>
      </c>
      <c r="I34" s="29">
        <f t="shared" si="6"/>
        <v>0</v>
      </c>
      <c r="J34" s="30">
        <f>I59</f>
        <v>0</v>
      </c>
      <c r="L34" s="16"/>
      <c r="M34" s="28" t="str">
        <f t="shared" si="7"/>
        <v/>
      </c>
      <c r="N34" s="28" t="str">
        <f t="shared" si="8"/>
        <v/>
      </c>
      <c r="O34" s="31" t="str">
        <f t="shared" si="9"/>
        <v/>
      </c>
      <c r="P34" s="32" t="str">
        <f t="shared" si="10"/>
        <v/>
      </c>
    </row>
    <row r="35" ht="15.75" customHeight="1">
      <c r="B35" s="26" t="s">
        <v>31</v>
      </c>
      <c r="C35" s="16"/>
      <c r="D35" s="16"/>
      <c r="E35" s="16"/>
      <c r="F35" s="18">
        <f t="shared" si="3"/>
        <v>0</v>
      </c>
      <c r="G35" s="27">
        <f t="shared" si="4"/>
        <v>0</v>
      </c>
      <c r="H35" s="28">
        <f t="shared" si="5"/>
        <v>0</v>
      </c>
      <c r="I35" s="29">
        <f t="shared" si="6"/>
        <v>0</v>
      </c>
      <c r="J35" s="30">
        <f>I70</f>
        <v>0</v>
      </c>
      <c r="L35" s="16"/>
      <c r="M35" s="28" t="str">
        <f t="shared" si="7"/>
        <v/>
      </c>
      <c r="N35" s="28" t="str">
        <f t="shared" si="8"/>
        <v/>
      </c>
      <c r="O35" s="31" t="str">
        <f t="shared" si="9"/>
        <v/>
      </c>
      <c r="P35" s="32" t="str">
        <f t="shared" si="10"/>
        <v/>
      </c>
    </row>
    <row r="36" ht="15.75" customHeight="1">
      <c r="B36" s="26" t="s">
        <v>32</v>
      </c>
      <c r="C36" s="16"/>
      <c r="D36" s="16"/>
      <c r="E36" s="16"/>
      <c r="F36" s="18">
        <f t="shared" si="3"/>
        <v>0</v>
      </c>
      <c r="G36" s="27">
        <f t="shared" si="4"/>
        <v>0</v>
      </c>
      <c r="H36" s="28">
        <f t="shared" si="5"/>
        <v>0</v>
      </c>
      <c r="I36" s="29">
        <f t="shared" si="6"/>
        <v>0</v>
      </c>
      <c r="J36" s="30">
        <f>I81</f>
        <v>0</v>
      </c>
      <c r="L36" s="16"/>
      <c r="M36" s="28" t="str">
        <f t="shared" si="7"/>
        <v/>
      </c>
      <c r="N36" s="28" t="str">
        <f t="shared" si="8"/>
        <v/>
      </c>
      <c r="O36" s="31" t="str">
        <f t="shared" si="9"/>
        <v/>
      </c>
      <c r="P36" s="32" t="str">
        <f t="shared" si="10"/>
        <v/>
      </c>
    </row>
    <row r="37" ht="15.75" customHeight="1">
      <c r="B37" s="26" t="s">
        <v>33</v>
      </c>
      <c r="C37" s="16"/>
      <c r="D37" s="16"/>
      <c r="E37" s="16"/>
      <c r="F37" s="18">
        <f t="shared" si="3"/>
        <v>0</v>
      </c>
      <c r="G37" s="27">
        <f t="shared" si="4"/>
        <v>0</v>
      </c>
      <c r="H37" s="28">
        <f t="shared" si="5"/>
        <v>0</v>
      </c>
      <c r="I37" s="29">
        <f t="shared" si="6"/>
        <v>0</v>
      </c>
      <c r="J37" s="30">
        <f>I92</f>
        <v>0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6"/>
      <c r="D38" s="16"/>
      <c r="E38" s="16"/>
      <c r="F38" s="18">
        <f t="shared" si="3"/>
        <v>0</v>
      </c>
      <c r="G38" s="27">
        <f t="shared" si="4"/>
        <v>0</v>
      </c>
      <c r="H38" s="28">
        <f t="shared" si="5"/>
        <v>0</v>
      </c>
      <c r="I38" s="29">
        <f t="shared" si="6"/>
        <v>0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6"/>
      <c r="D39" s="16"/>
      <c r="E39" s="16"/>
      <c r="F39" s="18">
        <f t="shared" si="3"/>
        <v>0</v>
      </c>
      <c r="G39" s="27">
        <f t="shared" si="4"/>
        <v>0</v>
      </c>
      <c r="H39" s="28">
        <f t="shared" si="5"/>
        <v>0</v>
      </c>
      <c r="I39" s="29">
        <f t="shared" si="6"/>
        <v>0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6"/>
      <c r="D41" s="16"/>
      <c r="E41" s="16"/>
      <c r="F41" s="18">
        <f t="shared" si="3"/>
        <v>0</v>
      </c>
      <c r="G41" s="27">
        <f t="shared" si="4"/>
        <v>0</v>
      </c>
      <c r="H41" s="28">
        <f t="shared" si="5"/>
        <v>0</v>
      </c>
      <c r="I41" s="29">
        <f t="shared" si="6"/>
        <v>0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0</v>
      </c>
      <c r="F43" s="20">
        <f t="shared" si="11"/>
        <v>0</v>
      </c>
      <c r="G43" s="35">
        <f t="shared" si="11"/>
        <v>0</v>
      </c>
      <c r="H43" s="35">
        <f t="shared" si="11"/>
        <v>0</v>
      </c>
      <c r="I43" s="20" t="s">
        <v>13</v>
      </c>
      <c r="J43" s="35">
        <f>SUM(J33:J42)</f>
        <v>0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DÍA NO DEFINIDO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0</v>
      </c>
      <c r="G48" s="38" t="s">
        <v>42</v>
      </c>
      <c r="H48" s="10"/>
      <c r="I48" s="39">
        <f>SUM(I50:I57)</f>
        <v>0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 t="str">
        <f>IF(D33="","", D33)</f>
        <v/>
      </c>
      <c r="E50" s="41"/>
      <c r="F50" s="41"/>
      <c r="G50" s="41"/>
      <c r="H50" s="41"/>
      <c r="I50" s="42" t="str">
        <f t="shared" ref="I50:I57" si="12">IF(E50="","", E50 - ((IF(F50="",0,F50) * IF(G50="",0,G50)) + IF(H50="",0,H50)))</f>
        <v/>
      </c>
    </row>
    <row r="51" ht="15.75" customHeight="1">
      <c r="B51" s="41">
        <v>2.0</v>
      </c>
      <c r="C51" s="18" t="s">
        <v>50</v>
      </c>
      <c r="D51" s="18" t="str">
        <f>IF(D33="","", D33)</f>
        <v/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 t="str">
        <f>IF(D33="","", D33)</f>
        <v/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 t="str">
        <f>IF(D33="","", D33)</f>
        <v/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 t="str">
        <f>IF(D33="","", D33)</f>
        <v/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 t="str">
        <f>IF(D33="","", D33)</f>
        <v/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 t="str">
        <f>IF(D33="","", D33)</f>
        <v/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 t="str">
        <f>IF(D33="","", D33)</f>
        <v/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 t="str">
        <f>IF(D34="","", D34)</f>
        <v/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 t="str">
        <f>IF(D34="","", D34)</f>
        <v/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 t="str">
        <f>IF(D34="","", D34)</f>
        <v/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 t="str">
        <f>IF(D34="","", D34)</f>
        <v/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 t="str">
        <f>IF(D34="","", D34)</f>
        <v/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 t="str">
        <f>IF(D34="","", D34)</f>
        <v/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 t="str">
        <f>IF(D34="","", D34)</f>
        <v/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 t="str">
        <f>IF(D34="","", D34)</f>
        <v/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 t="str">
        <f>IF(D35="","", D35)</f>
        <v/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 t="str">
        <f>IF(D35="","", D35)</f>
        <v/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 t="str">
        <f>IF(D35="","", D35)</f>
        <v/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 t="str">
        <f>IF(D35="","", D35)</f>
        <v/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 t="str">
        <f>IF(D35="","", D35)</f>
        <v/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 t="str">
        <f>IF(D35="","", D35)</f>
        <v/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 t="str">
        <f>IF(D35="","", D35)</f>
        <v/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 t="str">
        <f>IF(D35="","", D35)</f>
        <v/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 t="str">
        <f>IF(D36="","", D36)</f>
        <v/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 t="str">
        <f>IF(D36="","", D36)</f>
        <v/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 t="str">
        <f>IF(D36="","", D36)</f>
        <v/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 t="str">
        <f>IF(D36="","", D36)</f>
        <v/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 t="str">
        <f>IF(D36="","", D36)</f>
        <v/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 t="str">
        <f>IF(D36="","", D36)</f>
        <v/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 t="str">
        <f>IF(D36="","", D36)</f>
        <v/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 t="str">
        <f>IF(D36="","", D36)</f>
        <v/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0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 t="str">
        <f>IF(D37="","", D37)</f>
        <v/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 t="str">
        <f>IF(D37="","", D37)</f>
        <v/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 t="str">
        <f>IF(D37="","", D37)</f>
        <v/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 t="str">
        <f>IF(D37="","", D37)</f>
        <v/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 t="str">
        <f>IF(D37="","", D37)</f>
        <v/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 t="str">
        <f>IF(D37="","", D37)</f>
        <v/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 t="str">
        <f>IF(D37="","", D37)</f>
        <v/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 t="str">
        <f>IF(D37="","", D37)</f>
        <v/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0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 t="str">
        <f>IF(D38="","", D38)</f>
        <v/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 t="str">
        <f>IF(D38="","", D38)</f>
        <v/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 t="str">
        <f>IF(D38="","", D38)</f>
        <v/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 t="str">
        <f>IF(D38="","", D38)</f>
        <v/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 t="str">
        <f>IF(D38="","", D38)</f>
        <v/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 t="str">
        <f>IF(D38="","", D38)</f>
        <v/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 t="str">
        <f>IF(D38="","", D38)</f>
        <v/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 t="str">
        <f>IF(D38="","", D38)</f>
        <v/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0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 t="str">
        <f>IF(D39="","", D39)</f>
        <v/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 t="str">
        <f>IF(D39="","", D39)</f>
        <v/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 t="str">
        <f>IF(D39="","", D39)</f>
        <v/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 t="str">
        <f>IF(D39="","", D39)</f>
        <v/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 t="str">
        <f>IF(D39="","", D39)</f>
        <v/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 t="str">
        <f>IF(D39="","", D39)</f>
        <v/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 t="str">
        <f>IF(D39="","", D39)</f>
        <v/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 t="str">
        <f>IF(D39="","", D39)</f>
        <v/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 t="str">
        <f>IF(D41="","", D41)</f>
        <v/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 t="str">
        <f>IF(D41="","", D41)</f>
        <v/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 t="str">
        <f>IF(D41="","", D41)</f>
        <v/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 t="str">
        <f>IF(D41="","", D41)</f>
        <v/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 t="str">
        <f>IF(D41="","", D41)</f>
        <v/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 t="str">
        <f>IF(D41="","", D41)</f>
        <v/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 t="str">
        <f>IF(D41="","", D41)</f>
        <v/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 t="str">
        <f>IF(D41="","", D41)</f>
        <v/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(DÍA NO DEFINIDO):</v>
      </c>
      <c r="C158" s="34"/>
      <c r="D158" s="34"/>
      <c r="E158" s="34"/>
      <c r="F158" s="34"/>
      <c r="G158" s="34"/>
      <c r="H158" s="10"/>
      <c r="I158" s="48">
        <f>I48+I59+I70+I81+I92+I103+I114+I125+I136+I147</f>
        <v>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11">
        <v>46268.0</v>
      </c>
      <c r="G4" s="10"/>
      <c r="H4" s="8" t="s">
        <v>3</v>
      </c>
      <c r="J4" s="12" t="str">
        <f>IF(F4="","", CHOOSE(WEEKDAY(F4, 2), "LUNES", "MARTES", "MIÉRCOLES", "JUEVES", "VIERNES", "SÁBADO", "DOMINGO"))</f>
        <v>JUEVES</v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7">
        <f>9</f>
        <v>9</v>
      </c>
      <c r="F10" s="17">
        <v>6.0</v>
      </c>
      <c r="G10" s="16">
        <f t="shared" ref="G10:G23" si="1">IFERROR(IF(E10="","",VLOOKUP(E10, $B$10:$C$28, 2, FALSE)), 0)</f>
        <v>250</v>
      </c>
      <c r="H10" s="18">
        <f t="shared" ref="H10:H23" si="2">IF(ISNUMBER(F10*G10), F10*G10, 0)</f>
        <v>1500</v>
      </c>
    </row>
    <row r="11">
      <c r="B11" s="16">
        <v>9.0</v>
      </c>
      <c r="C11" s="16">
        <v>250.0</v>
      </c>
      <c r="E11" s="17">
        <v>11.0</v>
      </c>
      <c r="F11" s="17">
        <v>4.0</v>
      </c>
      <c r="G11" s="16">
        <f t="shared" si="1"/>
        <v>230</v>
      </c>
      <c r="H11" s="18">
        <f t="shared" si="2"/>
        <v>920</v>
      </c>
    </row>
    <row r="12">
      <c r="B12" s="16">
        <v>11.0</v>
      </c>
      <c r="C12" s="16">
        <v>230.0</v>
      </c>
      <c r="E12" s="17">
        <v>13.0</v>
      </c>
      <c r="F12" s="17">
        <v>4.0</v>
      </c>
      <c r="G12" s="16">
        <f t="shared" si="1"/>
        <v>180</v>
      </c>
      <c r="H12" s="18">
        <f t="shared" si="2"/>
        <v>720</v>
      </c>
    </row>
    <row r="13">
      <c r="B13" s="16">
        <v>12.0</v>
      </c>
      <c r="C13" s="16">
        <v>230.0</v>
      </c>
      <c r="E13" s="17">
        <v>40.0</v>
      </c>
      <c r="F13" s="17">
        <v>4.0</v>
      </c>
      <c r="G13" s="16">
        <f t="shared" si="1"/>
        <v>110</v>
      </c>
      <c r="H13" s="18">
        <f t="shared" si="2"/>
        <v>440</v>
      </c>
    </row>
    <row r="14">
      <c r="B14" s="16">
        <v>13.0</v>
      </c>
      <c r="C14" s="16">
        <v>180.0</v>
      </c>
      <c r="E14" s="17">
        <v>24.0</v>
      </c>
      <c r="F14" s="17">
        <v>10.0</v>
      </c>
      <c r="G14" s="16">
        <f t="shared" si="1"/>
        <v>120</v>
      </c>
      <c r="H14" s="18">
        <f t="shared" si="2"/>
        <v>1200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28</v>
      </c>
      <c r="G24" s="20" t="s">
        <v>13</v>
      </c>
      <c r="H24" s="20">
        <f>SUM(H10:H23)</f>
        <v>4780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7">
        <v>4.0</v>
      </c>
      <c r="D33" s="17">
        <v>9.0</v>
      </c>
      <c r="E33" s="17">
        <v>4.0</v>
      </c>
      <c r="F33" s="18">
        <f t="shared" ref="F33:F42" si="3">IFERROR(E33 * VLOOKUP(D33, $B$10:$C$28, 2, FALSE), 0)</f>
        <v>1000</v>
      </c>
      <c r="G33" s="27">
        <f t="shared" ref="G33:G42" si="4">IF(ISNUMBER(F33), F33/3, 0)</f>
        <v>333.3333333</v>
      </c>
      <c r="H33" s="28">
        <f t="shared" ref="H33:H42" si="5">IF(F33&gt;0, F33/204, 0)</f>
        <v>4.901960784</v>
      </c>
      <c r="I33" s="29">
        <f t="shared" ref="I33:I42" si="6">IF(AND(C33&lt;&gt;"", D33&lt;&gt;""), SUMIFS($H$33:$H$42, $C$33:$C$42, C33, $D$33:$D$42, D33), 0)</f>
        <v>4.901960784</v>
      </c>
      <c r="J33" s="30">
        <f>I48</f>
        <v>241.022</v>
      </c>
      <c r="L33" s="16">
        <f>IFERROR(__xludf.DUMMYFUNCTION("IFERROR(UNIQUE(FILTER(D33:D42, D33:D42&lt;&gt;"""")), """")"),9.0)</f>
        <v>9</v>
      </c>
      <c r="M33" s="28">
        <f t="shared" ref="M33:M42" si="7">IF(L33="","", SUMIF($D$33:$D$42, L33, $G$33:$G$42))</f>
        <v>500</v>
      </c>
      <c r="N33" s="28">
        <f t="shared" ref="N33:N42" si="8">IF(L33="","", SUMIF($D$33:$D$42, L33, $J$33:$J$42))</f>
        <v>361.451</v>
      </c>
      <c r="O33" s="31" t="str">
        <f t="shared" ref="O33:O42" si="9">IF(L33="","", IF(N33&gt;=M33, N33, NA()))</f>
        <v>#N/A</v>
      </c>
      <c r="P33" s="32">
        <f t="shared" ref="P33:P42" si="10">IF(L33="","", IF(N33&lt;M33, N33, NA()))</f>
        <v>361.451</v>
      </c>
    </row>
    <row r="34" ht="15.75" customHeight="1">
      <c r="B34" s="26" t="s">
        <v>30</v>
      </c>
      <c r="C34" s="17">
        <v>2.0</v>
      </c>
      <c r="D34" s="17">
        <v>24.0</v>
      </c>
      <c r="E34" s="17">
        <v>3.0</v>
      </c>
      <c r="F34" s="18">
        <f t="shared" si="3"/>
        <v>360</v>
      </c>
      <c r="G34" s="27">
        <f t="shared" si="4"/>
        <v>120</v>
      </c>
      <c r="H34" s="28">
        <f t="shared" si="5"/>
        <v>1.764705882</v>
      </c>
      <c r="I34" s="29">
        <f t="shared" si="6"/>
        <v>5.882352941</v>
      </c>
      <c r="J34" s="30">
        <f>I59</f>
        <v>131.158</v>
      </c>
      <c r="L34" s="16">
        <f>IFERROR(__xludf.DUMMYFUNCTION("""COMPUTED_VALUE"""),24.0)</f>
        <v>24</v>
      </c>
      <c r="M34" s="28">
        <f t="shared" si="7"/>
        <v>400</v>
      </c>
      <c r="N34" s="28">
        <f t="shared" si="8"/>
        <v>390.521</v>
      </c>
      <c r="O34" s="31" t="str">
        <f t="shared" si="9"/>
        <v>#N/A</v>
      </c>
      <c r="P34" s="32">
        <f t="shared" si="10"/>
        <v>390.521</v>
      </c>
    </row>
    <row r="35" ht="15.75" customHeight="1">
      <c r="B35" s="26" t="s">
        <v>31</v>
      </c>
      <c r="C35" s="17">
        <v>2.0</v>
      </c>
      <c r="D35" s="17">
        <v>24.0</v>
      </c>
      <c r="E35" s="17">
        <v>4.0</v>
      </c>
      <c r="F35" s="18">
        <f t="shared" si="3"/>
        <v>480</v>
      </c>
      <c r="G35" s="27">
        <f t="shared" si="4"/>
        <v>160</v>
      </c>
      <c r="H35" s="28">
        <f t="shared" si="5"/>
        <v>2.352941176</v>
      </c>
      <c r="I35" s="29">
        <f t="shared" si="6"/>
        <v>5.882352941</v>
      </c>
      <c r="J35" s="30">
        <f>I70</f>
        <v>225.827</v>
      </c>
      <c r="L35" s="16">
        <f>IFERROR(__xludf.DUMMYFUNCTION("""COMPUTED_VALUE"""),11.0)</f>
        <v>11</v>
      </c>
      <c r="M35" s="28">
        <f t="shared" si="7"/>
        <v>306.6666667</v>
      </c>
      <c r="N35" s="28">
        <f t="shared" si="8"/>
        <v>265.21</v>
      </c>
      <c r="O35" s="31" t="str">
        <f t="shared" si="9"/>
        <v>#N/A</v>
      </c>
      <c r="P35" s="32">
        <f t="shared" si="10"/>
        <v>265.21</v>
      </c>
    </row>
    <row r="36" ht="15.75" customHeight="1">
      <c r="B36" s="26" t="s">
        <v>32</v>
      </c>
      <c r="C36" s="17">
        <v>2.0</v>
      </c>
      <c r="D36" s="17">
        <v>24.0</v>
      </c>
      <c r="E36" s="17">
        <v>3.0</v>
      </c>
      <c r="F36" s="18">
        <f t="shared" si="3"/>
        <v>360</v>
      </c>
      <c r="G36" s="27">
        <f t="shared" si="4"/>
        <v>120</v>
      </c>
      <c r="H36" s="28">
        <f t="shared" si="5"/>
        <v>1.764705882</v>
      </c>
      <c r="I36" s="29">
        <f t="shared" si="6"/>
        <v>5.882352941</v>
      </c>
      <c r="J36" s="30">
        <f>I81</f>
        <v>33.536</v>
      </c>
      <c r="L36" s="16">
        <f>IFERROR(__xludf.DUMMYFUNCTION("""COMPUTED_VALUE"""),40.0)</f>
        <v>40</v>
      </c>
      <c r="M36" s="28">
        <f t="shared" si="7"/>
        <v>293.3333333</v>
      </c>
      <c r="N36" s="28">
        <f t="shared" si="8"/>
        <v>273.067</v>
      </c>
      <c r="O36" s="31" t="str">
        <f t="shared" si="9"/>
        <v>#N/A</v>
      </c>
      <c r="P36" s="32">
        <f t="shared" si="10"/>
        <v>273.067</v>
      </c>
    </row>
    <row r="37" ht="15.75" customHeight="1">
      <c r="B37" s="26" t="s">
        <v>33</v>
      </c>
      <c r="C37" s="17">
        <v>3.0</v>
      </c>
      <c r="D37" s="17">
        <v>11.0</v>
      </c>
      <c r="E37" s="17">
        <v>4.0</v>
      </c>
      <c r="F37" s="18">
        <f t="shared" si="3"/>
        <v>920</v>
      </c>
      <c r="G37" s="27">
        <f t="shared" si="4"/>
        <v>306.6666667</v>
      </c>
      <c r="H37" s="28">
        <f t="shared" si="5"/>
        <v>4.509803922</v>
      </c>
      <c r="I37" s="29">
        <f t="shared" si="6"/>
        <v>4.509803922</v>
      </c>
      <c r="J37" s="30">
        <f>I92</f>
        <v>265.21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7">
        <v>2.0</v>
      </c>
      <c r="D38" s="17">
        <v>40.0</v>
      </c>
      <c r="E38" s="17">
        <v>4.0</v>
      </c>
      <c r="F38" s="18">
        <f t="shared" si="3"/>
        <v>440</v>
      </c>
      <c r="G38" s="27">
        <f t="shared" si="4"/>
        <v>146.6666667</v>
      </c>
      <c r="H38" s="28">
        <f t="shared" si="5"/>
        <v>2.156862745</v>
      </c>
      <c r="I38" s="29">
        <f t="shared" si="6"/>
        <v>4.31372549</v>
      </c>
      <c r="J38" s="30">
        <f>I103</f>
        <v>79.95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7">
        <v>2.0</v>
      </c>
      <c r="D39" s="17">
        <v>9.0</v>
      </c>
      <c r="E39" s="17">
        <v>2.0</v>
      </c>
      <c r="F39" s="18">
        <f t="shared" si="3"/>
        <v>500</v>
      </c>
      <c r="G39" s="27">
        <f t="shared" si="4"/>
        <v>166.6666667</v>
      </c>
      <c r="H39" s="28">
        <f t="shared" si="5"/>
        <v>2.450980392</v>
      </c>
      <c r="I39" s="29">
        <f t="shared" si="6"/>
        <v>2.450980392</v>
      </c>
      <c r="J39" s="30">
        <f>I114</f>
        <v>120.429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7">
        <v>2.0</v>
      </c>
      <c r="D41" s="17">
        <v>40.0</v>
      </c>
      <c r="E41" s="17">
        <v>4.0</v>
      </c>
      <c r="F41" s="18">
        <f t="shared" si="3"/>
        <v>440</v>
      </c>
      <c r="G41" s="27">
        <f t="shared" si="4"/>
        <v>146.6666667</v>
      </c>
      <c r="H41" s="28">
        <f t="shared" si="5"/>
        <v>2.156862745</v>
      </c>
      <c r="I41" s="29">
        <f t="shared" si="6"/>
        <v>4.31372549</v>
      </c>
      <c r="J41" s="30">
        <f>I136</f>
        <v>193.117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28</v>
      </c>
      <c r="F43" s="20">
        <f t="shared" si="11"/>
        <v>4500</v>
      </c>
      <c r="G43" s="35">
        <f t="shared" si="11"/>
        <v>1500</v>
      </c>
      <c r="H43" s="35">
        <f t="shared" si="11"/>
        <v>22.05882353</v>
      </c>
      <c r="I43" s="20" t="s">
        <v>13</v>
      </c>
      <c r="J43" s="35">
        <f>SUM(J33:J42)</f>
        <v>1290.249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JUEVES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333.3333333</v>
      </c>
      <c r="G48" s="38" t="s">
        <v>42</v>
      </c>
      <c r="H48" s="10"/>
      <c r="I48" s="39">
        <f>SUM(I50:I57)</f>
        <v>241.022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>
        <f>IF(D33="","", D33)</f>
        <v>9</v>
      </c>
      <c r="E50" s="43">
        <v>67.4</v>
      </c>
      <c r="F50" s="43">
        <v>27.0</v>
      </c>
      <c r="G50" s="44">
        <v>0.037</v>
      </c>
      <c r="H50" s="44">
        <v>15.2</v>
      </c>
      <c r="I50" s="42">
        <f t="shared" ref="I50:I57" si="12">IF(E50="","", E50 - ((IF(F50="",0,F50) * IF(G50="",0,G50)) + IF(H50="",0,H50)))</f>
        <v>51.201</v>
      </c>
    </row>
    <row r="51" ht="15.75" customHeight="1">
      <c r="B51" s="41">
        <v>2.0</v>
      </c>
      <c r="C51" s="18" t="s">
        <v>50</v>
      </c>
      <c r="D51" s="18">
        <f>IF(D33="","", D33)</f>
        <v>9</v>
      </c>
      <c r="E51" s="43">
        <v>60.8</v>
      </c>
      <c r="F51" s="43">
        <v>27.0</v>
      </c>
      <c r="G51" s="44">
        <v>0.037</v>
      </c>
      <c r="H51" s="44">
        <v>15.2</v>
      </c>
      <c r="I51" s="42">
        <f t="shared" si="12"/>
        <v>44.601</v>
      </c>
    </row>
    <row r="52" ht="15.75" customHeight="1">
      <c r="B52" s="41">
        <v>3.0</v>
      </c>
      <c r="C52" s="18" t="s">
        <v>50</v>
      </c>
      <c r="D52" s="18">
        <f>IF(D33="","", D33)</f>
        <v>9</v>
      </c>
      <c r="E52" s="43">
        <v>65.0</v>
      </c>
      <c r="F52" s="43">
        <v>27.0</v>
      </c>
      <c r="G52" s="44">
        <v>0.037</v>
      </c>
      <c r="H52" s="44">
        <v>15.2</v>
      </c>
      <c r="I52" s="42">
        <f t="shared" si="12"/>
        <v>48.801</v>
      </c>
    </row>
    <row r="53" ht="15.75" customHeight="1">
      <c r="B53" s="41">
        <v>4.0</v>
      </c>
      <c r="C53" s="18" t="s">
        <v>50</v>
      </c>
      <c r="D53" s="18">
        <f>IF(D33="","", D33)</f>
        <v>9</v>
      </c>
      <c r="E53" s="41"/>
      <c r="F53" s="43"/>
      <c r="G53" s="44">
        <v>0.037</v>
      </c>
      <c r="H53" s="44">
        <v>15.2</v>
      </c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>
        <f>IF(D33="","", D33)</f>
        <v>9</v>
      </c>
      <c r="E54" s="44">
        <v>33.6</v>
      </c>
      <c r="F54" s="43">
        <v>9.0</v>
      </c>
      <c r="G54" s="44">
        <v>0.037</v>
      </c>
      <c r="H54" s="44">
        <v>15.2</v>
      </c>
      <c r="I54" s="29">
        <f t="shared" si="12"/>
        <v>18.067</v>
      </c>
    </row>
    <row r="55" ht="15.75" customHeight="1">
      <c r="B55" s="45">
        <v>2.0</v>
      </c>
      <c r="C55" s="46" t="s">
        <v>51</v>
      </c>
      <c r="D55" s="46">
        <f>IF(D33="","", D33)</f>
        <v>9</v>
      </c>
      <c r="E55" s="44">
        <v>57.9</v>
      </c>
      <c r="F55" s="43">
        <v>27.0</v>
      </c>
      <c r="G55" s="44">
        <v>0.037</v>
      </c>
      <c r="H55" s="44">
        <v>15.2</v>
      </c>
      <c r="I55" s="29">
        <f t="shared" si="12"/>
        <v>41.701</v>
      </c>
    </row>
    <row r="56" ht="15.75" customHeight="1">
      <c r="B56" s="45">
        <v>3.0</v>
      </c>
      <c r="C56" s="46" t="s">
        <v>51</v>
      </c>
      <c r="D56" s="46">
        <f>IF(D33="","", D33)</f>
        <v>9</v>
      </c>
      <c r="E56" s="44">
        <v>52.85</v>
      </c>
      <c r="F56" s="43">
        <v>27.0</v>
      </c>
      <c r="G56" s="44">
        <v>0.037</v>
      </c>
      <c r="H56" s="44">
        <v>15.2</v>
      </c>
      <c r="I56" s="29">
        <f t="shared" si="12"/>
        <v>36.651</v>
      </c>
    </row>
    <row r="57" ht="15.75" customHeight="1">
      <c r="B57" s="45">
        <v>4.0</v>
      </c>
      <c r="C57" s="46" t="s">
        <v>51</v>
      </c>
      <c r="D57" s="46">
        <f>IF(D33="","", D33)</f>
        <v>9</v>
      </c>
      <c r="E57" s="45"/>
      <c r="F57" s="43"/>
      <c r="G57" s="44">
        <v>0.037</v>
      </c>
      <c r="H57" s="44">
        <v>15.2</v>
      </c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120</v>
      </c>
      <c r="G59" s="38" t="s">
        <v>42</v>
      </c>
      <c r="H59" s="10"/>
      <c r="I59" s="39">
        <f>SUM(I61:I68)</f>
        <v>131.158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>
        <f>IF(D34="","", D34)</f>
        <v>24</v>
      </c>
      <c r="E61" s="43">
        <v>75.9</v>
      </c>
      <c r="F61" s="43">
        <v>56.0</v>
      </c>
      <c r="G61" s="44">
        <v>0.037</v>
      </c>
      <c r="H61" s="44">
        <v>15.2</v>
      </c>
      <c r="I61" s="42">
        <f t="shared" ref="I61:I68" si="13">IF(E61="","", E61 - ((IF(F61="",0,F61) * IF(G61="",0,G61)) + IF(H61="",0,H61)))</f>
        <v>58.628</v>
      </c>
    </row>
    <row r="62" ht="15.75" customHeight="1">
      <c r="B62" s="41">
        <v>2.0</v>
      </c>
      <c r="C62" s="18" t="s">
        <v>50</v>
      </c>
      <c r="D62" s="18">
        <f>IF(D34="","", D34)</f>
        <v>24</v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>
        <f>IF(D34="","", D34)</f>
        <v>24</v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>
        <f>IF(D34="","", D34)</f>
        <v>24</v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>
        <f>IF(D34="","", D34)</f>
        <v>24</v>
      </c>
      <c r="E65" s="44">
        <v>89.95</v>
      </c>
      <c r="F65" s="43">
        <v>60.0</v>
      </c>
      <c r="G65" s="44">
        <v>0.037</v>
      </c>
      <c r="H65" s="44">
        <v>15.2</v>
      </c>
      <c r="I65" s="29">
        <f t="shared" si="13"/>
        <v>72.53</v>
      </c>
    </row>
    <row r="66" ht="15.75" customHeight="1">
      <c r="B66" s="45">
        <v>2.0</v>
      </c>
      <c r="C66" s="46" t="s">
        <v>51</v>
      </c>
      <c r="D66" s="46">
        <f>IF(D34="","", D34)</f>
        <v>24</v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>
        <f>IF(D34="","", D34)</f>
        <v>24</v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>
        <f>IF(D34="","", D34)</f>
        <v>24</v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160</v>
      </c>
      <c r="G70" s="38" t="s">
        <v>42</v>
      </c>
      <c r="H70" s="10"/>
      <c r="I70" s="39">
        <f>SUM(I72:I79)</f>
        <v>225.827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>
        <f>IF(D35="","", D35)</f>
        <v>24</v>
      </c>
      <c r="E72" s="43">
        <v>150.3</v>
      </c>
      <c r="F72" s="43">
        <v>64.0</v>
      </c>
      <c r="G72" s="43">
        <v>0.037</v>
      </c>
      <c r="H72" s="43">
        <v>15.2</v>
      </c>
      <c r="I72" s="42">
        <f t="shared" ref="I72:I79" si="14">IF(E72="","", E72 - ((IF(F72="",0,F72) * IF(G72="",0,G72)) + IF(H72="",0,H72)))</f>
        <v>132.732</v>
      </c>
    </row>
    <row r="73" ht="15.75" customHeight="1">
      <c r="B73" s="41">
        <v>2.0</v>
      </c>
      <c r="C73" s="18" t="s">
        <v>50</v>
      </c>
      <c r="D73" s="18">
        <f>IF(D35="","", D35)</f>
        <v>24</v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>
        <f>IF(D35="","", D35)</f>
        <v>24</v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>
        <f>IF(D35="","", D35)</f>
        <v>24</v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>
        <f>IF(D35="","", D35)</f>
        <v>24</v>
      </c>
      <c r="E76" s="44">
        <v>110.7</v>
      </c>
      <c r="F76" s="43">
        <v>65.0</v>
      </c>
      <c r="G76" s="44">
        <v>0.037</v>
      </c>
      <c r="H76" s="44">
        <v>15.2</v>
      </c>
      <c r="I76" s="29">
        <f t="shared" si="14"/>
        <v>93.095</v>
      </c>
    </row>
    <row r="77" ht="15.75" customHeight="1">
      <c r="B77" s="45">
        <v>2.0</v>
      </c>
      <c r="C77" s="46" t="s">
        <v>51</v>
      </c>
      <c r="D77" s="46">
        <f>IF(D35="","", D35)</f>
        <v>24</v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>
        <f>IF(D35="","", D35)</f>
        <v>24</v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>
        <f>IF(D35="","", D35)</f>
        <v>24</v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120</v>
      </c>
      <c r="G81" s="38" t="s">
        <v>42</v>
      </c>
      <c r="H81" s="10"/>
      <c r="I81" s="39">
        <f>SUM(I83:I90)</f>
        <v>33.536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>
        <f>IF(D36="","", D36)</f>
        <v>24</v>
      </c>
      <c r="E83" s="43">
        <v>49.55</v>
      </c>
      <c r="F83" s="43">
        <v>22.0</v>
      </c>
      <c r="G83" s="43">
        <v>0.037</v>
      </c>
      <c r="H83" s="43">
        <v>15.2</v>
      </c>
      <c r="I83" s="42">
        <f t="shared" ref="I83:I90" si="15">IF(E83="","", E83 - ((IF(F83="",0,F83) * IF(G83="",0,G83)) + IF(H83="",0,H83)))</f>
        <v>33.536</v>
      </c>
    </row>
    <row r="84" ht="15.75" customHeight="1">
      <c r="B84" s="41">
        <v>2.0</v>
      </c>
      <c r="C84" s="18" t="s">
        <v>50</v>
      </c>
      <c r="D84" s="18">
        <f>IF(D36="","", D36)</f>
        <v>24</v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>
        <f>IF(D36="","", D36)</f>
        <v>24</v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>
        <f>IF(D36="","", D36)</f>
        <v>24</v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>
        <f>IF(D36="","", D36)</f>
        <v>24</v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>
        <f>IF(D36="","", D36)</f>
        <v>24</v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>
        <f>IF(D36="","", D36)</f>
        <v>24</v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>
        <f>IF(D36="","", D36)</f>
        <v>24</v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306.6666667</v>
      </c>
      <c r="G92" s="38" t="s">
        <v>42</v>
      </c>
      <c r="H92" s="10"/>
      <c r="I92" s="39">
        <f>SUM(I94:I101)</f>
        <v>265.21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>
        <f>IF(D37="","", D37)</f>
        <v>11</v>
      </c>
      <c r="E94" s="43">
        <v>80.35</v>
      </c>
      <c r="F94" s="43">
        <v>60.0</v>
      </c>
      <c r="G94" s="43">
        <v>0.037</v>
      </c>
      <c r="H94" s="43">
        <v>15.2</v>
      </c>
      <c r="I94" s="42">
        <f t="shared" ref="I94:I101" si="16">IF(E94="","", E94 - ((IF(F94="",0,F94) * IF(G94="",0,G94)) + IF(H94="",0,H94)))</f>
        <v>62.93</v>
      </c>
    </row>
    <row r="95" ht="15.75" customHeight="1">
      <c r="B95" s="41">
        <v>2.0</v>
      </c>
      <c r="C95" s="18" t="s">
        <v>50</v>
      </c>
      <c r="D95" s="18">
        <f>IF(D37="","", D37)</f>
        <v>11</v>
      </c>
      <c r="E95" s="43">
        <v>61.8</v>
      </c>
      <c r="F95" s="43">
        <v>60.0</v>
      </c>
      <c r="G95" s="43">
        <v>0.037</v>
      </c>
      <c r="H95" s="43">
        <v>15.2</v>
      </c>
      <c r="I95" s="42">
        <f t="shared" si="16"/>
        <v>44.38</v>
      </c>
    </row>
    <row r="96" ht="15.75" customHeight="1">
      <c r="B96" s="41">
        <v>3.0</v>
      </c>
      <c r="C96" s="18" t="s">
        <v>50</v>
      </c>
      <c r="D96" s="18">
        <f>IF(D37="","", D37)</f>
        <v>11</v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>
        <f>IF(D37="","", D37)</f>
        <v>11</v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>
        <f>IF(D37="","", D37)</f>
        <v>11</v>
      </c>
      <c r="E98" s="44">
        <v>111.9</v>
      </c>
      <c r="F98" s="44">
        <v>50.0</v>
      </c>
      <c r="G98" s="44">
        <v>0.037</v>
      </c>
      <c r="H98" s="44">
        <v>15.2</v>
      </c>
      <c r="I98" s="29">
        <f t="shared" si="16"/>
        <v>94.85</v>
      </c>
    </row>
    <row r="99" ht="15.75" customHeight="1">
      <c r="B99" s="45">
        <v>2.0</v>
      </c>
      <c r="C99" s="46" t="s">
        <v>51</v>
      </c>
      <c r="D99" s="46">
        <f>IF(D37="","", D37)</f>
        <v>11</v>
      </c>
      <c r="E99" s="44">
        <v>80.1</v>
      </c>
      <c r="F99" s="44">
        <v>50.0</v>
      </c>
      <c r="G99" s="44">
        <v>0.037</v>
      </c>
      <c r="H99" s="44">
        <v>15.2</v>
      </c>
      <c r="I99" s="29">
        <f t="shared" si="16"/>
        <v>63.05</v>
      </c>
    </row>
    <row r="100" ht="15.75" customHeight="1">
      <c r="B100" s="45">
        <v>3.0</v>
      </c>
      <c r="C100" s="46" t="s">
        <v>51</v>
      </c>
      <c r="D100" s="46">
        <f>IF(D37="","", D37)</f>
        <v>11</v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>
        <f>IF(D37="","", D37)</f>
        <v>11</v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146.6666667</v>
      </c>
      <c r="G103" s="38" t="s">
        <v>42</v>
      </c>
      <c r="H103" s="10"/>
      <c r="I103" s="39">
        <f>SUM(I105:I112)</f>
        <v>79.95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>
        <f>IF(D38="","", D38)</f>
        <v>40</v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>
        <f>IF(D38="","", D38)</f>
        <v>40</v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>
        <f>IF(D38="","", D38)</f>
        <v>40</v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>
        <f>IF(D38="","", D38)</f>
        <v>40</v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>
        <f>IF(D38="","", D38)</f>
        <v>40</v>
      </c>
      <c r="E109" s="44">
        <v>98.75</v>
      </c>
      <c r="F109" s="44">
        <v>60.0</v>
      </c>
      <c r="G109" s="44">
        <v>0.06</v>
      </c>
      <c r="H109" s="44">
        <v>15.2</v>
      </c>
      <c r="I109" s="29">
        <f t="shared" si="17"/>
        <v>79.95</v>
      </c>
    </row>
    <row r="110" ht="15.75" customHeight="1">
      <c r="B110" s="45">
        <v>2.0</v>
      </c>
      <c r="C110" s="46" t="s">
        <v>51</v>
      </c>
      <c r="D110" s="46">
        <f>IF(D38="","", D38)</f>
        <v>40</v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>
        <f>IF(D38="","", D38)</f>
        <v>40</v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>
        <f>IF(D38="","", D38)</f>
        <v>40</v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166.6666667</v>
      </c>
      <c r="G114" s="38" t="s">
        <v>42</v>
      </c>
      <c r="H114" s="10"/>
      <c r="I114" s="39">
        <f>SUM(I116:I123)</f>
        <v>120.429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>
        <f>IF(D39="","", D39)</f>
        <v>9</v>
      </c>
      <c r="E116" s="43">
        <v>83.35</v>
      </c>
      <c r="F116" s="43">
        <v>44.0</v>
      </c>
      <c r="G116" s="43">
        <v>0.037</v>
      </c>
      <c r="H116" s="43">
        <v>15.2</v>
      </c>
      <c r="I116" s="42">
        <f t="shared" ref="I116:I123" si="18">IF(E116="","", E116 - ((IF(F116="",0,F116) * IF(G116="",0,G116)) + IF(H116="",0,H116)))</f>
        <v>66.522</v>
      </c>
    </row>
    <row r="117" ht="15.75" customHeight="1">
      <c r="B117" s="41">
        <v>2.0</v>
      </c>
      <c r="C117" s="18" t="s">
        <v>50</v>
      </c>
      <c r="D117" s="18">
        <f>IF(D39="","", D39)</f>
        <v>9</v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>
        <f>IF(D39="","", D39)</f>
        <v>9</v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>
        <f>IF(D39="","", D39)</f>
        <v>9</v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>
        <f>IF(D39="","", D39)</f>
        <v>9</v>
      </c>
      <c r="E120" s="44">
        <v>70.55</v>
      </c>
      <c r="F120" s="44">
        <v>39.0</v>
      </c>
      <c r="G120" s="44">
        <v>0.037</v>
      </c>
      <c r="H120" s="44">
        <v>15.2</v>
      </c>
      <c r="I120" s="29">
        <f t="shared" si="18"/>
        <v>53.907</v>
      </c>
    </row>
    <row r="121" ht="15.75" customHeight="1">
      <c r="B121" s="45">
        <v>2.0</v>
      </c>
      <c r="C121" s="46" t="s">
        <v>51</v>
      </c>
      <c r="D121" s="46">
        <f>IF(D39="","", D39)</f>
        <v>9</v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>
        <f>IF(D39="","", D39)</f>
        <v>9</v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>
        <f>IF(D39="","", D39)</f>
        <v>9</v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146.6666667</v>
      </c>
      <c r="G136" s="38" t="s">
        <v>42</v>
      </c>
      <c r="H136" s="10"/>
      <c r="I136" s="39">
        <f>SUM(I138:I145)</f>
        <v>193.117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>
        <f>IF(D41="","", D41)</f>
        <v>40</v>
      </c>
      <c r="E138" s="43">
        <v>139.6</v>
      </c>
      <c r="F138" s="43">
        <v>79.0</v>
      </c>
      <c r="G138" s="43">
        <v>0.037</v>
      </c>
      <c r="H138" s="43">
        <v>15.2</v>
      </c>
      <c r="I138" s="42">
        <f t="shared" ref="I138:I145" si="20">IF(E138="","", E138 - ((IF(F138="",0,F138) * IF(G138="",0,G138)) + IF(H138="",0,H138)))</f>
        <v>121.477</v>
      </c>
    </row>
    <row r="139" ht="15.75" customHeight="1">
      <c r="B139" s="41">
        <v>2.0</v>
      </c>
      <c r="C139" s="18" t="s">
        <v>50</v>
      </c>
      <c r="D139" s="18">
        <f>IF(D41="","", D41)</f>
        <v>40</v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>
        <f>IF(D41="","", D41)</f>
        <v>40</v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>
        <f>IF(D41="","", D41)</f>
        <v>40</v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>
        <f>IF(D41="","", D41)</f>
        <v>40</v>
      </c>
      <c r="E142" s="44">
        <v>89.8</v>
      </c>
      <c r="F142" s="44">
        <v>80.0</v>
      </c>
      <c r="G142" s="44">
        <v>0.037</v>
      </c>
      <c r="H142" s="44">
        <v>15.2</v>
      </c>
      <c r="I142" s="29">
        <f t="shared" si="20"/>
        <v>71.64</v>
      </c>
    </row>
    <row r="143" ht="15.75" customHeight="1">
      <c r="B143" s="45">
        <v>2.0</v>
      </c>
      <c r="C143" s="46" t="s">
        <v>51</v>
      </c>
      <c r="D143" s="46">
        <f>IF(D41="","", D41)</f>
        <v>40</v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>
        <f>IF(D41="","", D41)</f>
        <v>40</v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>
        <f>IF(D41="","", D41)</f>
        <v>40</v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(JUEVES):</v>
      </c>
      <c r="C158" s="34"/>
      <c r="D158" s="34"/>
      <c r="E158" s="34"/>
      <c r="F158" s="34"/>
      <c r="G158" s="34"/>
      <c r="H158" s="10"/>
      <c r="I158" s="48">
        <f>I48+I59+I70+I81+I92+I103+I114+I125+I136+I147</f>
        <v>1290.249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9"/>
      <c r="G4" s="10"/>
      <c r="H4" s="8" t="s">
        <v>3</v>
      </c>
      <c r="J4" s="12" t="str">
        <f>IF(F4="","", CHOOSE(WEEKDAY(F4, 2), "LUNES", "MARTES", "MIÉRCOLES", "JUEVES", "VIERNES", "SÁBADO", "DOMINGO"))</f>
        <v/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6"/>
      <c r="F10" s="16"/>
      <c r="G10" s="16" t="str">
        <f t="shared" ref="G10:G23" si="1">IFERROR(IF(E10="","",VLOOKUP(E10, $B$10:$C$28, 2, FALSE)), 0)</f>
        <v/>
      </c>
      <c r="H10" s="18">
        <f t="shared" ref="H10:H23" si="2">IF(ISNUMBER(F10*G10), F10*G10, 0)</f>
        <v>0</v>
      </c>
    </row>
    <row r="11">
      <c r="B11" s="16">
        <v>9.0</v>
      </c>
      <c r="C11" s="16">
        <v>250.0</v>
      </c>
      <c r="E11" s="16"/>
      <c r="F11" s="16"/>
      <c r="G11" s="16" t="str">
        <f t="shared" si="1"/>
        <v/>
      </c>
      <c r="H11" s="18">
        <f t="shared" si="2"/>
        <v>0</v>
      </c>
    </row>
    <row r="12">
      <c r="B12" s="16">
        <v>11.0</v>
      </c>
      <c r="C12" s="16">
        <v>230.0</v>
      </c>
      <c r="E12" s="16"/>
      <c r="F12" s="16"/>
      <c r="G12" s="16" t="str">
        <f t="shared" si="1"/>
        <v/>
      </c>
      <c r="H12" s="18">
        <f t="shared" si="2"/>
        <v>0</v>
      </c>
    </row>
    <row r="13">
      <c r="B13" s="16">
        <v>12.0</v>
      </c>
      <c r="C13" s="16">
        <v>230.0</v>
      </c>
      <c r="E13" s="16"/>
      <c r="F13" s="16"/>
      <c r="G13" s="16" t="str">
        <f t="shared" si="1"/>
        <v/>
      </c>
      <c r="H13" s="18">
        <f t="shared" si="2"/>
        <v>0</v>
      </c>
    </row>
    <row r="14">
      <c r="B14" s="16">
        <v>13.0</v>
      </c>
      <c r="C14" s="16">
        <v>180.0</v>
      </c>
      <c r="E14" s="16"/>
      <c r="F14" s="16"/>
      <c r="G14" s="16" t="str">
        <f t="shared" si="1"/>
        <v/>
      </c>
      <c r="H14" s="18">
        <f t="shared" si="2"/>
        <v>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0</v>
      </c>
      <c r="G24" s="20" t="s">
        <v>13</v>
      </c>
      <c r="H24" s="20">
        <f>SUM(H10:H23)</f>
        <v>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6"/>
      <c r="D33" s="16"/>
      <c r="E33" s="16"/>
      <c r="F33" s="18">
        <f t="shared" ref="F33:F42" si="3">IFERROR(E33 * VLOOKUP(D33, $B$10:$C$28, 2, FALSE), 0)</f>
        <v>0</v>
      </c>
      <c r="G33" s="27">
        <f t="shared" ref="G33:G42" si="4">IF(ISNUMBER(F33), F33/3, 0)</f>
        <v>0</v>
      </c>
      <c r="H33" s="28">
        <f t="shared" ref="H33:H42" si="5">IF(F33&gt;0, F33/204, 0)</f>
        <v>0</v>
      </c>
      <c r="I33" s="29">
        <f t="shared" ref="I33:I42" si="6">IF(AND(C33&lt;&gt;"", D33&lt;&gt;""), SUMIFS($H$33:$H$42, $C$33:$C$42, C33, $D$33:$D$42, D33), 0)</f>
        <v>0</v>
      </c>
      <c r="J33" s="30">
        <f>I48</f>
        <v>0</v>
      </c>
      <c r="L33" s="16" t="str">
        <f>IFERROR(__xludf.DUMMYFUNCTION("IFERROR(UNIQUE(FILTER(D33:D42, D33:D42&lt;&gt;"""")), """")"),"")</f>
        <v/>
      </c>
      <c r="M33" s="28" t="str">
        <f t="shared" ref="M33:M42" si="7">IF(L33="","", SUMIF($D$33:$D$42, L33, $G$33:$G$42))</f>
        <v/>
      </c>
      <c r="N33" s="28" t="str">
        <f t="shared" ref="N33:N42" si="8">IF(L33="","", SUMIF($D$33:$D$42, L33, $J$33:$J$42))</f>
        <v/>
      </c>
      <c r="O33" s="31" t="str">
        <f t="shared" ref="O33:O42" si="9">IF(L33="","", IF(N33&gt;=M33, N33, NA()))</f>
        <v/>
      </c>
      <c r="P33" s="32" t="str">
        <f t="shared" ref="P33:P42" si="10">IF(L33="","", IF(N33&lt;M33, N33, NA()))</f>
        <v/>
      </c>
    </row>
    <row r="34" ht="15.75" customHeight="1">
      <c r="B34" s="26" t="s">
        <v>30</v>
      </c>
      <c r="C34" s="16"/>
      <c r="D34" s="16"/>
      <c r="E34" s="16"/>
      <c r="F34" s="18">
        <f t="shared" si="3"/>
        <v>0</v>
      </c>
      <c r="G34" s="27">
        <f t="shared" si="4"/>
        <v>0</v>
      </c>
      <c r="H34" s="28">
        <f t="shared" si="5"/>
        <v>0</v>
      </c>
      <c r="I34" s="29">
        <f t="shared" si="6"/>
        <v>0</v>
      </c>
      <c r="J34" s="30">
        <f>I59</f>
        <v>0</v>
      </c>
      <c r="L34" s="16"/>
      <c r="M34" s="28" t="str">
        <f t="shared" si="7"/>
        <v/>
      </c>
      <c r="N34" s="28" t="str">
        <f t="shared" si="8"/>
        <v/>
      </c>
      <c r="O34" s="31" t="str">
        <f t="shared" si="9"/>
        <v/>
      </c>
      <c r="P34" s="32" t="str">
        <f t="shared" si="10"/>
        <v/>
      </c>
    </row>
    <row r="35" ht="15.75" customHeight="1">
      <c r="B35" s="26" t="s">
        <v>31</v>
      </c>
      <c r="C35" s="16"/>
      <c r="D35" s="16"/>
      <c r="E35" s="16"/>
      <c r="F35" s="18">
        <f t="shared" si="3"/>
        <v>0</v>
      </c>
      <c r="G35" s="27">
        <f t="shared" si="4"/>
        <v>0</v>
      </c>
      <c r="H35" s="28">
        <f t="shared" si="5"/>
        <v>0</v>
      </c>
      <c r="I35" s="29">
        <f t="shared" si="6"/>
        <v>0</v>
      </c>
      <c r="J35" s="30">
        <f>I70</f>
        <v>0</v>
      </c>
      <c r="L35" s="16"/>
      <c r="M35" s="28" t="str">
        <f t="shared" si="7"/>
        <v/>
      </c>
      <c r="N35" s="28" t="str">
        <f t="shared" si="8"/>
        <v/>
      </c>
      <c r="O35" s="31" t="str">
        <f t="shared" si="9"/>
        <v/>
      </c>
      <c r="P35" s="32" t="str">
        <f t="shared" si="10"/>
        <v/>
      </c>
    </row>
    <row r="36" ht="15.75" customHeight="1">
      <c r="B36" s="26" t="s">
        <v>32</v>
      </c>
      <c r="C36" s="16"/>
      <c r="D36" s="16"/>
      <c r="E36" s="16"/>
      <c r="F36" s="18">
        <f t="shared" si="3"/>
        <v>0</v>
      </c>
      <c r="G36" s="27">
        <f t="shared" si="4"/>
        <v>0</v>
      </c>
      <c r="H36" s="28">
        <f t="shared" si="5"/>
        <v>0</v>
      </c>
      <c r="I36" s="29">
        <f t="shared" si="6"/>
        <v>0</v>
      </c>
      <c r="J36" s="30">
        <f>I81</f>
        <v>0</v>
      </c>
      <c r="L36" s="16"/>
      <c r="M36" s="28" t="str">
        <f t="shared" si="7"/>
        <v/>
      </c>
      <c r="N36" s="28" t="str">
        <f t="shared" si="8"/>
        <v/>
      </c>
      <c r="O36" s="31" t="str">
        <f t="shared" si="9"/>
        <v/>
      </c>
      <c r="P36" s="32" t="str">
        <f t="shared" si="10"/>
        <v/>
      </c>
    </row>
    <row r="37" ht="15.75" customHeight="1">
      <c r="B37" s="26" t="s">
        <v>33</v>
      </c>
      <c r="C37" s="16"/>
      <c r="D37" s="16"/>
      <c r="E37" s="16"/>
      <c r="F37" s="18">
        <f t="shared" si="3"/>
        <v>0</v>
      </c>
      <c r="G37" s="27">
        <f t="shared" si="4"/>
        <v>0</v>
      </c>
      <c r="H37" s="28">
        <f t="shared" si="5"/>
        <v>0</v>
      </c>
      <c r="I37" s="29">
        <f t="shared" si="6"/>
        <v>0</v>
      </c>
      <c r="J37" s="30">
        <f>I92</f>
        <v>0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6"/>
      <c r="D38" s="16"/>
      <c r="E38" s="16"/>
      <c r="F38" s="18">
        <f t="shared" si="3"/>
        <v>0</v>
      </c>
      <c r="G38" s="27">
        <f t="shared" si="4"/>
        <v>0</v>
      </c>
      <c r="H38" s="28">
        <f t="shared" si="5"/>
        <v>0</v>
      </c>
      <c r="I38" s="29">
        <f t="shared" si="6"/>
        <v>0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6"/>
      <c r="D39" s="16"/>
      <c r="E39" s="16"/>
      <c r="F39" s="18">
        <f t="shared" si="3"/>
        <v>0</v>
      </c>
      <c r="G39" s="27">
        <f t="shared" si="4"/>
        <v>0</v>
      </c>
      <c r="H39" s="28">
        <f t="shared" si="5"/>
        <v>0</v>
      </c>
      <c r="I39" s="29">
        <f t="shared" si="6"/>
        <v>0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6"/>
      <c r="D41" s="16"/>
      <c r="E41" s="16"/>
      <c r="F41" s="18">
        <f t="shared" si="3"/>
        <v>0</v>
      </c>
      <c r="G41" s="27">
        <f t="shared" si="4"/>
        <v>0</v>
      </c>
      <c r="H41" s="28">
        <f t="shared" si="5"/>
        <v>0</v>
      </c>
      <c r="I41" s="29">
        <f t="shared" si="6"/>
        <v>0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0</v>
      </c>
      <c r="F43" s="20">
        <f t="shared" si="11"/>
        <v>0</v>
      </c>
      <c r="G43" s="35">
        <f t="shared" si="11"/>
        <v>0</v>
      </c>
      <c r="H43" s="35">
        <f t="shared" si="11"/>
        <v>0</v>
      </c>
      <c r="I43" s="20" t="s">
        <v>13</v>
      </c>
      <c r="J43" s="35">
        <f>SUM(J33:J42)</f>
        <v>0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DÍA NO DEFINIDO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0</v>
      </c>
      <c r="G48" s="38" t="s">
        <v>42</v>
      </c>
      <c r="H48" s="10"/>
      <c r="I48" s="39">
        <f>SUM(I50:I57)</f>
        <v>0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 t="str">
        <f>IF(D33="","", D33)</f>
        <v/>
      </c>
      <c r="E50" s="41"/>
      <c r="F50" s="41"/>
      <c r="G50" s="41"/>
      <c r="H50" s="41"/>
      <c r="I50" s="42" t="str">
        <f t="shared" ref="I50:I57" si="12">IF(E50="","", E50 - ((IF(F50="",0,F50) * IF(G50="",0,G50)) + IF(H50="",0,H50)))</f>
        <v/>
      </c>
    </row>
    <row r="51" ht="15.75" customHeight="1">
      <c r="B51" s="41">
        <v>2.0</v>
      </c>
      <c r="C51" s="18" t="s">
        <v>50</v>
      </c>
      <c r="D51" s="18" t="str">
        <f>IF(D33="","", D33)</f>
        <v/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 t="str">
        <f>IF(D33="","", D33)</f>
        <v/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 t="str">
        <f>IF(D33="","", D33)</f>
        <v/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 t="str">
        <f>IF(D33="","", D33)</f>
        <v/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 t="str">
        <f>IF(D33="","", D33)</f>
        <v/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 t="str">
        <f>IF(D33="","", D33)</f>
        <v/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 t="str">
        <f>IF(D33="","", D33)</f>
        <v/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 t="str">
        <f>IF(D34="","", D34)</f>
        <v/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 t="str">
        <f>IF(D34="","", D34)</f>
        <v/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 t="str">
        <f>IF(D34="","", D34)</f>
        <v/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 t="str">
        <f>IF(D34="","", D34)</f>
        <v/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 t="str">
        <f>IF(D34="","", D34)</f>
        <v/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 t="str">
        <f>IF(D34="","", D34)</f>
        <v/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 t="str">
        <f>IF(D34="","", D34)</f>
        <v/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 t="str">
        <f>IF(D34="","", D34)</f>
        <v/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 t="str">
        <f>IF(D35="","", D35)</f>
        <v/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 t="str">
        <f>IF(D35="","", D35)</f>
        <v/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 t="str">
        <f>IF(D35="","", D35)</f>
        <v/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 t="str">
        <f>IF(D35="","", D35)</f>
        <v/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 t="str">
        <f>IF(D35="","", D35)</f>
        <v/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 t="str">
        <f>IF(D35="","", D35)</f>
        <v/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 t="str">
        <f>IF(D35="","", D35)</f>
        <v/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 t="str">
        <f>IF(D35="","", D35)</f>
        <v/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 t="str">
        <f>IF(D36="","", D36)</f>
        <v/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 t="str">
        <f>IF(D36="","", D36)</f>
        <v/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 t="str">
        <f>IF(D36="","", D36)</f>
        <v/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 t="str">
        <f>IF(D36="","", D36)</f>
        <v/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 t="str">
        <f>IF(D36="","", D36)</f>
        <v/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 t="str">
        <f>IF(D36="","", D36)</f>
        <v/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 t="str">
        <f>IF(D36="","", D36)</f>
        <v/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 t="str">
        <f>IF(D36="","", D36)</f>
        <v/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0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 t="str">
        <f>IF(D37="","", D37)</f>
        <v/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 t="str">
        <f>IF(D37="","", D37)</f>
        <v/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 t="str">
        <f>IF(D37="","", D37)</f>
        <v/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 t="str">
        <f>IF(D37="","", D37)</f>
        <v/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 t="str">
        <f>IF(D37="","", D37)</f>
        <v/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 t="str">
        <f>IF(D37="","", D37)</f>
        <v/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 t="str">
        <f>IF(D37="","", D37)</f>
        <v/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 t="str">
        <f>IF(D37="","", D37)</f>
        <v/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0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 t="str">
        <f>IF(D38="","", D38)</f>
        <v/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 t="str">
        <f>IF(D38="","", D38)</f>
        <v/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 t="str">
        <f>IF(D38="","", D38)</f>
        <v/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 t="str">
        <f>IF(D38="","", D38)</f>
        <v/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 t="str">
        <f>IF(D38="","", D38)</f>
        <v/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 t="str">
        <f>IF(D38="","", D38)</f>
        <v/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 t="str">
        <f>IF(D38="","", D38)</f>
        <v/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 t="str">
        <f>IF(D38="","", D38)</f>
        <v/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0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 t="str">
        <f>IF(D39="","", D39)</f>
        <v/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 t="str">
        <f>IF(D39="","", D39)</f>
        <v/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 t="str">
        <f>IF(D39="","", D39)</f>
        <v/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 t="str">
        <f>IF(D39="","", D39)</f>
        <v/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 t="str">
        <f>IF(D39="","", D39)</f>
        <v/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 t="str">
        <f>IF(D39="","", D39)</f>
        <v/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 t="str">
        <f>IF(D39="","", D39)</f>
        <v/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 t="str">
        <f>IF(D39="","", D39)</f>
        <v/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 t="str">
        <f>IF(D41="","", D41)</f>
        <v/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 t="str">
        <f>IF(D41="","", D41)</f>
        <v/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 t="str">
        <f>IF(D41="","", D41)</f>
        <v/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 t="str">
        <f>IF(D41="","", D41)</f>
        <v/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 t="str">
        <f>IF(D41="","", D41)</f>
        <v/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 t="str">
        <f>IF(D41="","", D41)</f>
        <v/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 t="str">
        <f>IF(D41="","", D41)</f>
        <v/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 t="str">
        <f>IF(D41="","", D41)</f>
        <v/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(DÍA NO DEFINIDO):</v>
      </c>
      <c r="C158" s="34"/>
      <c r="D158" s="34"/>
      <c r="E158" s="34"/>
      <c r="F158" s="34"/>
      <c r="G158" s="34"/>
      <c r="H158" s="10"/>
      <c r="I158" s="48">
        <f>I48+I59+I70+I81+I92+I103+I114+I125+I136+I147</f>
        <v>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9"/>
      <c r="G4" s="10"/>
      <c r="H4" s="8" t="s">
        <v>3</v>
      </c>
      <c r="J4" s="12" t="str">
        <f>IF(F4="","", CHOOSE(WEEKDAY(F4, 2), "LUNES", "MARTES", "MIÉRCOLES", "JUEVES", "VIERNES", "SÁBADO", "DOMINGO"))</f>
        <v/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6"/>
      <c r="F10" s="16"/>
      <c r="G10" s="16" t="str">
        <f t="shared" ref="G10:G23" si="1">IFERROR(IF(E10="","",VLOOKUP(E10, $B$10:$C$28, 2, FALSE)), 0)</f>
        <v/>
      </c>
      <c r="H10" s="18">
        <f t="shared" ref="H10:H23" si="2">IF(ISNUMBER(F10*G10), F10*G10, 0)</f>
        <v>0</v>
      </c>
    </row>
    <row r="11">
      <c r="B11" s="16">
        <v>9.0</v>
      </c>
      <c r="C11" s="16">
        <v>250.0</v>
      </c>
      <c r="E11" s="16"/>
      <c r="F11" s="16"/>
      <c r="G11" s="16" t="str">
        <f t="shared" si="1"/>
        <v/>
      </c>
      <c r="H11" s="18">
        <f t="shared" si="2"/>
        <v>0</v>
      </c>
    </row>
    <row r="12">
      <c r="B12" s="16">
        <v>11.0</v>
      </c>
      <c r="C12" s="16">
        <v>230.0</v>
      </c>
      <c r="E12" s="16"/>
      <c r="F12" s="16"/>
      <c r="G12" s="16" t="str">
        <f t="shared" si="1"/>
        <v/>
      </c>
      <c r="H12" s="18">
        <f t="shared" si="2"/>
        <v>0</v>
      </c>
    </row>
    <row r="13">
      <c r="B13" s="16">
        <v>12.0</v>
      </c>
      <c r="C13" s="16">
        <v>230.0</v>
      </c>
      <c r="E13" s="16"/>
      <c r="F13" s="16"/>
      <c r="G13" s="16" t="str">
        <f t="shared" si="1"/>
        <v/>
      </c>
      <c r="H13" s="18">
        <f t="shared" si="2"/>
        <v>0</v>
      </c>
    </row>
    <row r="14">
      <c r="B14" s="16">
        <v>13.0</v>
      </c>
      <c r="C14" s="16">
        <v>180.0</v>
      </c>
      <c r="E14" s="16"/>
      <c r="F14" s="16"/>
      <c r="G14" s="16" t="str">
        <f t="shared" si="1"/>
        <v/>
      </c>
      <c r="H14" s="18">
        <f t="shared" si="2"/>
        <v>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0</v>
      </c>
      <c r="G24" s="20" t="s">
        <v>13</v>
      </c>
      <c r="H24" s="20">
        <f>SUM(H10:H23)</f>
        <v>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6"/>
      <c r="D33" s="16"/>
      <c r="E33" s="16"/>
      <c r="F33" s="18">
        <f t="shared" ref="F33:F42" si="3">IFERROR(E33 * VLOOKUP(D33, $B$10:$C$28, 2, FALSE), 0)</f>
        <v>0</v>
      </c>
      <c r="G33" s="27">
        <f t="shared" ref="G33:G42" si="4">IF(ISNUMBER(F33), F33/3, 0)</f>
        <v>0</v>
      </c>
      <c r="H33" s="28">
        <f t="shared" ref="H33:H42" si="5">IF(F33&gt;0, F33/204, 0)</f>
        <v>0</v>
      </c>
      <c r="I33" s="29">
        <f t="shared" ref="I33:I42" si="6">IF(AND(C33&lt;&gt;"", D33&lt;&gt;""), SUMIFS($H$33:$H$42, $C$33:$C$42, C33, $D$33:$D$42, D33), 0)</f>
        <v>0</v>
      </c>
      <c r="J33" s="30">
        <f>I48</f>
        <v>0</v>
      </c>
      <c r="L33" s="16" t="str">
        <f>IFERROR(__xludf.DUMMYFUNCTION("IFERROR(UNIQUE(FILTER(D33:D42, D33:D42&lt;&gt;"""")), """")"),"")</f>
        <v/>
      </c>
      <c r="M33" s="28" t="str">
        <f t="shared" ref="M33:M42" si="7">IF(L33="","", SUMIF($D$33:$D$42, L33, $G$33:$G$42))</f>
        <v/>
      </c>
      <c r="N33" s="28" t="str">
        <f t="shared" ref="N33:N42" si="8">IF(L33="","", SUMIF($D$33:$D$42, L33, $J$33:$J$42))</f>
        <v/>
      </c>
      <c r="O33" s="31" t="str">
        <f t="shared" ref="O33:O42" si="9">IF(L33="","", IF(N33&gt;=M33, N33, NA()))</f>
        <v/>
      </c>
      <c r="P33" s="32" t="str">
        <f t="shared" ref="P33:P42" si="10">IF(L33="","", IF(N33&lt;M33, N33, NA()))</f>
        <v/>
      </c>
    </row>
    <row r="34" ht="15.75" customHeight="1">
      <c r="B34" s="26" t="s">
        <v>30</v>
      </c>
      <c r="C34" s="16"/>
      <c r="D34" s="16"/>
      <c r="E34" s="16"/>
      <c r="F34" s="18">
        <f t="shared" si="3"/>
        <v>0</v>
      </c>
      <c r="G34" s="27">
        <f t="shared" si="4"/>
        <v>0</v>
      </c>
      <c r="H34" s="28">
        <f t="shared" si="5"/>
        <v>0</v>
      </c>
      <c r="I34" s="29">
        <f t="shared" si="6"/>
        <v>0</v>
      </c>
      <c r="J34" s="30">
        <f>I59</f>
        <v>0</v>
      </c>
      <c r="L34" s="16"/>
      <c r="M34" s="28" t="str">
        <f t="shared" si="7"/>
        <v/>
      </c>
      <c r="N34" s="28" t="str">
        <f t="shared" si="8"/>
        <v/>
      </c>
      <c r="O34" s="31" t="str">
        <f t="shared" si="9"/>
        <v/>
      </c>
      <c r="P34" s="32" t="str">
        <f t="shared" si="10"/>
        <v/>
      </c>
    </row>
    <row r="35" ht="15.75" customHeight="1">
      <c r="B35" s="26" t="s">
        <v>31</v>
      </c>
      <c r="C35" s="16"/>
      <c r="D35" s="16"/>
      <c r="E35" s="16"/>
      <c r="F35" s="18">
        <f t="shared" si="3"/>
        <v>0</v>
      </c>
      <c r="G35" s="27">
        <f t="shared" si="4"/>
        <v>0</v>
      </c>
      <c r="H35" s="28">
        <f t="shared" si="5"/>
        <v>0</v>
      </c>
      <c r="I35" s="29">
        <f t="shared" si="6"/>
        <v>0</v>
      </c>
      <c r="J35" s="30">
        <f>I70</f>
        <v>0</v>
      </c>
      <c r="L35" s="16"/>
      <c r="M35" s="28" t="str">
        <f t="shared" si="7"/>
        <v/>
      </c>
      <c r="N35" s="28" t="str">
        <f t="shared" si="8"/>
        <v/>
      </c>
      <c r="O35" s="31" t="str">
        <f t="shared" si="9"/>
        <v/>
      </c>
      <c r="P35" s="32" t="str">
        <f t="shared" si="10"/>
        <v/>
      </c>
    </row>
    <row r="36" ht="15.75" customHeight="1">
      <c r="B36" s="26" t="s">
        <v>32</v>
      </c>
      <c r="C36" s="16"/>
      <c r="D36" s="16"/>
      <c r="E36" s="16"/>
      <c r="F36" s="18">
        <f t="shared" si="3"/>
        <v>0</v>
      </c>
      <c r="G36" s="27">
        <f t="shared" si="4"/>
        <v>0</v>
      </c>
      <c r="H36" s="28">
        <f t="shared" si="5"/>
        <v>0</v>
      </c>
      <c r="I36" s="29">
        <f t="shared" si="6"/>
        <v>0</v>
      </c>
      <c r="J36" s="30">
        <f>I81</f>
        <v>0</v>
      </c>
      <c r="L36" s="16"/>
      <c r="M36" s="28" t="str">
        <f t="shared" si="7"/>
        <v/>
      </c>
      <c r="N36" s="28" t="str">
        <f t="shared" si="8"/>
        <v/>
      </c>
      <c r="O36" s="31" t="str">
        <f t="shared" si="9"/>
        <v/>
      </c>
      <c r="P36" s="32" t="str">
        <f t="shared" si="10"/>
        <v/>
      </c>
    </row>
    <row r="37" ht="15.75" customHeight="1">
      <c r="B37" s="26" t="s">
        <v>33</v>
      </c>
      <c r="C37" s="16"/>
      <c r="D37" s="16"/>
      <c r="E37" s="16"/>
      <c r="F37" s="18">
        <f t="shared" si="3"/>
        <v>0</v>
      </c>
      <c r="G37" s="27">
        <f t="shared" si="4"/>
        <v>0</v>
      </c>
      <c r="H37" s="28">
        <f t="shared" si="5"/>
        <v>0</v>
      </c>
      <c r="I37" s="29">
        <f t="shared" si="6"/>
        <v>0</v>
      </c>
      <c r="J37" s="30">
        <f>I92</f>
        <v>0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6"/>
      <c r="D38" s="16"/>
      <c r="E38" s="16"/>
      <c r="F38" s="18">
        <f t="shared" si="3"/>
        <v>0</v>
      </c>
      <c r="G38" s="27">
        <f t="shared" si="4"/>
        <v>0</v>
      </c>
      <c r="H38" s="28">
        <f t="shared" si="5"/>
        <v>0</v>
      </c>
      <c r="I38" s="29">
        <f t="shared" si="6"/>
        <v>0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6"/>
      <c r="D39" s="16"/>
      <c r="E39" s="16"/>
      <c r="F39" s="18">
        <f t="shared" si="3"/>
        <v>0</v>
      </c>
      <c r="G39" s="27">
        <f t="shared" si="4"/>
        <v>0</v>
      </c>
      <c r="H39" s="28">
        <f t="shared" si="5"/>
        <v>0</v>
      </c>
      <c r="I39" s="29">
        <f t="shared" si="6"/>
        <v>0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6"/>
      <c r="D41" s="16"/>
      <c r="E41" s="16"/>
      <c r="F41" s="18">
        <f t="shared" si="3"/>
        <v>0</v>
      </c>
      <c r="G41" s="27">
        <f t="shared" si="4"/>
        <v>0</v>
      </c>
      <c r="H41" s="28">
        <f t="shared" si="5"/>
        <v>0</v>
      </c>
      <c r="I41" s="29">
        <f t="shared" si="6"/>
        <v>0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0</v>
      </c>
      <c r="F43" s="20">
        <f t="shared" si="11"/>
        <v>0</v>
      </c>
      <c r="G43" s="35">
        <f t="shared" si="11"/>
        <v>0</v>
      </c>
      <c r="H43" s="35">
        <f t="shared" si="11"/>
        <v>0</v>
      </c>
      <c r="I43" s="20" t="s">
        <v>13</v>
      </c>
      <c r="J43" s="35">
        <f>SUM(J33:J42)</f>
        <v>0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DÍA NO DEFINIDO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0</v>
      </c>
      <c r="G48" s="38" t="s">
        <v>42</v>
      </c>
      <c r="H48" s="10"/>
      <c r="I48" s="39">
        <f>SUM(I50:I57)</f>
        <v>0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 t="str">
        <f>IF(D33="","", D33)</f>
        <v/>
      </c>
      <c r="E50" s="41"/>
      <c r="F50" s="41"/>
      <c r="G50" s="41"/>
      <c r="H50" s="41"/>
      <c r="I50" s="42" t="str">
        <f t="shared" ref="I50:I57" si="12">IF(E50="","", E50 - ((IF(F50="",0,F50) * IF(G50="",0,G50)) + IF(H50="",0,H50)))</f>
        <v/>
      </c>
    </row>
    <row r="51" ht="15.75" customHeight="1">
      <c r="B51" s="41">
        <v>2.0</v>
      </c>
      <c r="C51" s="18" t="s">
        <v>50</v>
      </c>
      <c r="D51" s="18" t="str">
        <f>IF(D33="","", D33)</f>
        <v/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 t="str">
        <f>IF(D33="","", D33)</f>
        <v/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 t="str">
        <f>IF(D33="","", D33)</f>
        <v/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 t="str">
        <f>IF(D33="","", D33)</f>
        <v/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 t="str">
        <f>IF(D33="","", D33)</f>
        <v/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 t="str">
        <f>IF(D33="","", D33)</f>
        <v/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 t="str">
        <f>IF(D33="","", D33)</f>
        <v/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 t="str">
        <f>IF(D34="","", D34)</f>
        <v/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 t="str">
        <f>IF(D34="","", D34)</f>
        <v/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 t="str">
        <f>IF(D34="","", D34)</f>
        <v/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 t="str">
        <f>IF(D34="","", D34)</f>
        <v/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 t="str">
        <f>IF(D34="","", D34)</f>
        <v/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 t="str">
        <f>IF(D34="","", D34)</f>
        <v/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 t="str">
        <f>IF(D34="","", D34)</f>
        <v/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 t="str">
        <f>IF(D34="","", D34)</f>
        <v/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 t="str">
        <f>IF(D35="","", D35)</f>
        <v/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 t="str">
        <f>IF(D35="","", D35)</f>
        <v/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 t="str">
        <f>IF(D35="","", D35)</f>
        <v/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 t="str">
        <f>IF(D35="","", D35)</f>
        <v/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 t="str">
        <f>IF(D35="","", D35)</f>
        <v/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 t="str">
        <f>IF(D35="","", D35)</f>
        <v/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 t="str">
        <f>IF(D35="","", D35)</f>
        <v/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 t="str">
        <f>IF(D35="","", D35)</f>
        <v/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 t="str">
        <f>IF(D36="","", D36)</f>
        <v/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 t="str">
        <f>IF(D36="","", D36)</f>
        <v/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 t="str">
        <f>IF(D36="","", D36)</f>
        <v/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 t="str">
        <f>IF(D36="","", D36)</f>
        <v/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 t="str">
        <f>IF(D36="","", D36)</f>
        <v/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 t="str">
        <f>IF(D36="","", D36)</f>
        <v/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 t="str">
        <f>IF(D36="","", D36)</f>
        <v/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 t="str">
        <f>IF(D36="","", D36)</f>
        <v/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0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 t="str">
        <f>IF(D37="","", D37)</f>
        <v/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 t="str">
        <f>IF(D37="","", D37)</f>
        <v/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 t="str">
        <f>IF(D37="","", D37)</f>
        <v/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 t="str">
        <f>IF(D37="","", D37)</f>
        <v/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 t="str">
        <f>IF(D37="","", D37)</f>
        <v/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 t="str">
        <f>IF(D37="","", D37)</f>
        <v/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 t="str">
        <f>IF(D37="","", D37)</f>
        <v/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 t="str">
        <f>IF(D37="","", D37)</f>
        <v/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0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 t="str">
        <f>IF(D38="","", D38)</f>
        <v/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 t="str">
        <f>IF(D38="","", D38)</f>
        <v/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 t="str">
        <f>IF(D38="","", D38)</f>
        <v/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 t="str">
        <f>IF(D38="","", D38)</f>
        <v/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 t="str">
        <f>IF(D38="","", D38)</f>
        <v/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 t="str">
        <f>IF(D38="","", D38)</f>
        <v/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 t="str">
        <f>IF(D38="","", D38)</f>
        <v/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 t="str">
        <f>IF(D38="","", D38)</f>
        <v/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0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 t="str">
        <f>IF(D39="","", D39)</f>
        <v/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 t="str">
        <f>IF(D39="","", D39)</f>
        <v/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 t="str">
        <f>IF(D39="","", D39)</f>
        <v/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 t="str">
        <f>IF(D39="","", D39)</f>
        <v/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 t="str">
        <f>IF(D39="","", D39)</f>
        <v/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 t="str">
        <f>IF(D39="","", D39)</f>
        <v/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 t="str">
        <f>IF(D39="","", D39)</f>
        <v/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 t="str">
        <f>IF(D39="","", D39)</f>
        <v/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 t="str">
        <f>IF(D41="","", D41)</f>
        <v/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 t="str">
        <f>IF(D41="","", D41)</f>
        <v/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 t="str">
        <f>IF(D41="","", D41)</f>
        <v/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 t="str">
        <f>IF(D41="","", D41)</f>
        <v/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 t="str">
        <f>IF(D41="","", D41)</f>
        <v/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 t="str">
        <f>IF(D41="","", D41)</f>
        <v/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 t="str">
        <f>IF(D41="","", D41)</f>
        <v/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 t="str">
        <f>IF(D41="","", D41)</f>
        <v/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(DÍA NO DEFINIDO):</v>
      </c>
      <c r="C158" s="34"/>
      <c r="D158" s="34"/>
      <c r="E158" s="34"/>
      <c r="F158" s="34"/>
      <c r="G158" s="34"/>
      <c r="H158" s="10"/>
      <c r="I158" s="48">
        <f>I48+I59+I70+I81+I92+I103+I114+I125+I136+I147</f>
        <v>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7.5"/>
    <col customWidth="1" min="4" max="4" width="21.0"/>
    <col customWidth="1" min="5" max="5" width="23.38"/>
    <col customWidth="1" min="6" max="6" width="17.5"/>
    <col customWidth="1" min="7" max="9" width="21.0"/>
    <col customWidth="1" min="10" max="10" width="23.38"/>
    <col customWidth="1" min="11" max="11" width="3.5"/>
    <col customWidth="1" min="12" max="14" width="17.5"/>
    <col customWidth="1" min="15" max="15" width="21.0"/>
    <col customWidth="1" min="16" max="16" width="17.5"/>
    <col customWidth="1" min="17" max="26" width="16.88"/>
  </cols>
  <sheetData>
    <row r="2" ht="19.5" customHeight="1">
      <c r="B2" s="1" t="s">
        <v>0</v>
      </c>
      <c r="C2" s="2"/>
      <c r="D2" s="3" t="s">
        <v>1</v>
      </c>
    </row>
    <row r="3" ht="9.75" customHeight="1">
      <c r="B3" s="4"/>
      <c r="C3" s="5"/>
    </row>
    <row r="4" ht="19.5" customHeight="1">
      <c r="B4" s="6"/>
      <c r="C4" s="7"/>
      <c r="D4" s="8" t="s">
        <v>2</v>
      </c>
      <c r="F4" s="9"/>
      <c r="G4" s="10"/>
      <c r="H4" s="8" t="s">
        <v>3</v>
      </c>
      <c r="J4" s="12" t="str">
        <f>IF(F4="","", CHOOSE(WEEKDAY(F4, 2), "LUNES", "MARTES", "MIÉRCOLES", "JUEVES", "VIERNES", "SÁBADO", "DOMINGO"))</f>
        <v/>
      </c>
      <c r="K4" s="10"/>
    </row>
    <row r="8">
      <c r="B8" s="13" t="s">
        <v>4</v>
      </c>
      <c r="C8" s="14"/>
      <c r="E8" s="13" t="s">
        <v>5</v>
      </c>
      <c r="F8" s="14"/>
      <c r="G8" s="14"/>
      <c r="H8" s="14"/>
    </row>
    <row r="9">
      <c r="B9" s="15" t="s">
        <v>6</v>
      </c>
      <c r="C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</row>
    <row r="10">
      <c r="B10" s="16">
        <v>5.0</v>
      </c>
      <c r="C10" s="16">
        <v>480.0</v>
      </c>
      <c r="E10" s="16"/>
      <c r="F10" s="16"/>
      <c r="G10" s="16" t="str">
        <f t="shared" ref="G10:G23" si="1">IFERROR(IF(E10="","",VLOOKUP(E10, $B$10:$C$28, 2, FALSE)), 0)</f>
        <v/>
      </c>
      <c r="H10" s="18">
        <f t="shared" ref="H10:H23" si="2">IF(ISNUMBER(F10*G10), F10*G10, 0)</f>
        <v>0</v>
      </c>
    </row>
    <row r="11">
      <c r="B11" s="16">
        <v>9.0</v>
      </c>
      <c r="C11" s="16">
        <v>250.0</v>
      </c>
      <c r="E11" s="16"/>
      <c r="F11" s="16"/>
      <c r="G11" s="16" t="str">
        <f t="shared" si="1"/>
        <v/>
      </c>
      <c r="H11" s="18">
        <f t="shared" si="2"/>
        <v>0</v>
      </c>
    </row>
    <row r="12">
      <c r="B12" s="16">
        <v>11.0</v>
      </c>
      <c r="C12" s="16">
        <v>230.0</v>
      </c>
      <c r="E12" s="16"/>
      <c r="F12" s="16"/>
      <c r="G12" s="16" t="str">
        <f t="shared" si="1"/>
        <v/>
      </c>
      <c r="H12" s="18">
        <f t="shared" si="2"/>
        <v>0</v>
      </c>
    </row>
    <row r="13">
      <c r="B13" s="16">
        <v>12.0</v>
      </c>
      <c r="C13" s="16">
        <v>230.0</v>
      </c>
      <c r="E13" s="16"/>
      <c r="F13" s="16"/>
      <c r="G13" s="16" t="str">
        <f t="shared" si="1"/>
        <v/>
      </c>
      <c r="H13" s="18">
        <f t="shared" si="2"/>
        <v>0</v>
      </c>
    </row>
    <row r="14">
      <c r="B14" s="16">
        <v>13.0</v>
      </c>
      <c r="C14" s="16">
        <v>180.0</v>
      </c>
      <c r="E14" s="16"/>
      <c r="F14" s="16"/>
      <c r="G14" s="16" t="str">
        <f t="shared" si="1"/>
        <v/>
      </c>
      <c r="H14" s="18">
        <f t="shared" si="2"/>
        <v>0</v>
      </c>
    </row>
    <row r="15">
      <c r="B15" s="16">
        <v>14.0</v>
      </c>
      <c r="C15" s="16">
        <v>220.0</v>
      </c>
      <c r="E15" s="16"/>
      <c r="F15" s="16"/>
      <c r="G15" s="16" t="str">
        <f t="shared" si="1"/>
        <v/>
      </c>
      <c r="H15" s="18">
        <f t="shared" si="2"/>
        <v>0</v>
      </c>
    </row>
    <row r="16">
      <c r="B16" s="16">
        <v>15.0</v>
      </c>
      <c r="C16" s="16">
        <v>150.0</v>
      </c>
      <c r="E16" s="16"/>
      <c r="F16" s="16"/>
      <c r="G16" s="16" t="str">
        <f t="shared" si="1"/>
        <v/>
      </c>
      <c r="H16" s="18">
        <f t="shared" si="2"/>
        <v>0</v>
      </c>
    </row>
    <row r="17">
      <c r="B17" s="16">
        <v>24.0</v>
      </c>
      <c r="C17" s="16">
        <v>120.0</v>
      </c>
      <c r="E17" s="16"/>
      <c r="F17" s="16"/>
      <c r="G17" s="16" t="str">
        <f t="shared" si="1"/>
        <v/>
      </c>
      <c r="H17" s="18">
        <f t="shared" si="2"/>
        <v>0</v>
      </c>
    </row>
    <row r="18">
      <c r="B18" s="16">
        <v>40.0</v>
      </c>
      <c r="C18" s="16">
        <v>110.0</v>
      </c>
      <c r="E18" s="16"/>
      <c r="F18" s="16"/>
      <c r="G18" s="16" t="str">
        <f t="shared" si="1"/>
        <v/>
      </c>
      <c r="H18" s="18">
        <f t="shared" si="2"/>
        <v>0</v>
      </c>
    </row>
    <row r="19">
      <c r="B19" s="19"/>
      <c r="C19" s="19"/>
      <c r="E19" s="16"/>
      <c r="F19" s="16"/>
      <c r="G19" s="16" t="str">
        <f t="shared" si="1"/>
        <v/>
      </c>
      <c r="H19" s="18">
        <f t="shared" si="2"/>
        <v>0</v>
      </c>
    </row>
    <row r="20">
      <c r="B20" s="19"/>
      <c r="C20" s="19"/>
      <c r="E20" s="16"/>
      <c r="F20" s="16"/>
      <c r="G20" s="16" t="str">
        <f t="shared" si="1"/>
        <v/>
      </c>
      <c r="H20" s="18">
        <f t="shared" si="2"/>
        <v>0</v>
      </c>
    </row>
    <row r="21" ht="15.75" customHeight="1">
      <c r="B21" s="19"/>
      <c r="C21" s="19"/>
      <c r="E21" s="16"/>
      <c r="F21" s="16"/>
      <c r="G21" s="16" t="str">
        <f t="shared" si="1"/>
        <v/>
      </c>
      <c r="H21" s="18">
        <f t="shared" si="2"/>
        <v>0</v>
      </c>
    </row>
    <row r="22" ht="15.75" customHeight="1">
      <c r="B22" s="19"/>
      <c r="C22" s="19"/>
      <c r="E22" s="16"/>
      <c r="F22" s="16"/>
      <c r="G22" s="16" t="str">
        <f t="shared" si="1"/>
        <v/>
      </c>
      <c r="H22" s="18">
        <f t="shared" si="2"/>
        <v>0</v>
      </c>
    </row>
    <row r="23" ht="15.75" customHeight="1">
      <c r="B23" s="19"/>
      <c r="C23" s="19"/>
      <c r="E23" s="16"/>
      <c r="F23" s="16"/>
      <c r="G23" s="16" t="str">
        <f t="shared" si="1"/>
        <v/>
      </c>
      <c r="H23" s="18">
        <f t="shared" si="2"/>
        <v>0</v>
      </c>
    </row>
    <row r="24" ht="15.75" customHeight="1">
      <c r="B24" s="19"/>
      <c r="C24" s="19"/>
      <c r="E24" s="20" t="s">
        <v>12</v>
      </c>
      <c r="F24" s="20">
        <f>SUM(F10:F23)</f>
        <v>0</v>
      </c>
      <c r="G24" s="20" t="s">
        <v>13</v>
      </c>
      <c r="H24" s="20">
        <f>SUM(H10:H23)</f>
        <v>0</v>
      </c>
    </row>
    <row r="25" ht="15.75" customHeight="1">
      <c r="B25" s="19"/>
      <c r="C25" s="19"/>
    </row>
    <row r="26" ht="15.75" customHeight="1">
      <c r="B26" s="19"/>
      <c r="C26" s="19"/>
    </row>
    <row r="27" ht="15.75" customHeight="1">
      <c r="B27" s="19"/>
      <c r="C27" s="19"/>
    </row>
    <row r="28" ht="15.75" customHeight="1">
      <c r="B28" s="19"/>
      <c r="C28" s="19"/>
    </row>
    <row r="29" ht="15.75" customHeight="1"/>
    <row r="30" ht="15.75" customHeight="1"/>
    <row r="31" ht="15.75" customHeight="1">
      <c r="B31" s="22" t="s">
        <v>14</v>
      </c>
      <c r="C31" s="14"/>
      <c r="D31" s="14"/>
      <c r="E31" s="14"/>
      <c r="F31" s="14"/>
      <c r="G31" s="14"/>
      <c r="H31" s="14"/>
      <c r="I31" s="14"/>
      <c r="J31" s="14"/>
      <c r="L31" s="23" t="s">
        <v>15</v>
      </c>
      <c r="M31" s="14"/>
      <c r="N31" s="14"/>
      <c r="O31" s="14"/>
      <c r="P31" s="14"/>
    </row>
    <row r="32" ht="45.0" customHeight="1">
      <c r="B32" s="24" t="s">
        <v>16</v>
      </c>
      <c r="C32" s="24" t="s">
        <v>17</v>
      </c>
      <c r="D32" s="24" t="s">
        <v>18</v>
      </c>
      <c r="E32" s="24" t="s">
        <v>19</v>
      </c>
      <c r="F32" s="24" t="s">
        <v>20</v>
      </c>
      <c r="G32" s="24" t="s">
        <v>21</v>
      </c>
      <c r="H32" s="24" t="s">
        <v>22</v>
      </c>
      <c r="I32" s="24" t="s">
        <v>23</v>
      </c>
      <c r="J32" s="24" t="s">
        <v>24</v>
      </c>
      <c r="L32" s="25" t="s">
        <v>8</v>
      </c>
      <c r="M32" s="25" t="s">
        <v>25</v>
      </c>
      <c r="N32" s="25" t="s">
        <v>26</v>
      </c>
      <c r="O32" s="25" t="s">
        <v>27</v>
      </c>
      <c r="P32" s="25" t="s">
        <v>28</v>
      </c>
    </row>
    <row r="33" ht="15.75" customHeight="1">
      <c r="B33" s="26" t="s">
        <v>29</v>
      </c>
      <c r="C33" s="16"/>
      <c r="D33" s="16"/>
      <c r="E33" s="16"/>
      <c r="F33" s="18">
        <f t="shared" ref="F33:F42" si="3">IFERROR(E33 * VLOOKUP(D33, $B$10:$C$28, 2, FALSE), 0)</f>
        <v>0</v>
      </c>
      <c r="G33" s="27">
        <f t="shared" ref="G33:G42" si="4">IF(ISNUMBER(F33), F33/3, 0)</f>
        <v>0</v>
      </c>
      <c r="H33" s="28">
        <f t="shared" ref="H33:H42" si="5">IF(F33&gt;0, F33/204, 0)</f>
        <v>0</v>
      </c>
      <c r="I33" s="29">
        <f t="shared" ref="I33:I42" si="6">IF(AND(C33&lt;&gt;"", D33&lt;&gt;""), SUMIFS($H$33:$H$42, $C$33:$C$42, C33, $D$33:$D$42, D33), 0)</f>
        <v>0</v>
      </c>
      <c r="J33" s="30">
        <f>I48</f>
        <v>0</v>
      </c>
      <c r="L33" s="16" t="str">
        <f>IFERROR(__xludf.DUMMYFUNCTION("IFERROR(UNIQUE(FILTER(D33:D42, D33:D42&lt;&gt;"""")), """")"),"")</f>
        <v/>
      </c>
      <c r="M33" s="28" t="str">
        <f t="shared" ref="M33:M42" si="7">IF(L33="","", SUMIF($D$33:$D$42, L33, $G$33:$G$42))</f>
        <v/>
      </c>
      <c r="N33" s="28" t="str">
        <f t="shared" ref="N33:N42" si="8">IF(L33="","", SUMIF($D$33:$D$42, L33, $J$33:$J$42))</f>
        <v/>
      </c>
      <c r="O33" s="31" t="str">
        <f t="shared" ref="O33:O42" si="9">IF(L33="","", IF(N33&gt;=M33, N33, NA()))</f>
        <v/>
      </c>
      <c r="P33" s="32" t="str">
        <f t="shared" ref="P33:P42" si="10">IF(L33="","", IF(N33&lt;M33, N33, NA()))</f>
        <v/>
      </c>
    </row>
    <row r="34" ht="15.75" customHeight="1">
      <c r="B34" s="26" t="s">
        <v>30</v>
      </c>
      <c r="C34" s="16"/>
      <c r="D34" s="16"/>
      <c r="E34" s="16"/>
      <c r="F34" s="18">
        <f t="shared" si="3"/>
        <v>0</v>
      </c>
      <c r="G34" s="27">
        <f t="shared" si="4"/>
        <v>0</v>
      </c>
      <c r="H34" s="28">
        <f t="shared" si="5"/>
        <v>0</v>
      </c>
      <c r="I34" s="29">
        <f t="shared" si="6"/>
        <v>0</v>
      </c>
      <c r="J34" s="30">
        <f>I59</f>
        <v>0</v>
      </c>
      <c r="L34" s="16"/>
      <c r="M34" s="28" t="str">
        <f t="shared" si="7"/>
        <v/>
      </c>
      <c r="N34" s="28" t="str">
        <f t="shared" si="8"/>
        <v/>
      </c>
      <c r="O34" s="31" t="str">
        <f t="shared" si="9"/>
        <v/>
      </c>
      <c r="P34" s="32" t="str">
        <f t="shared" si="10"/>
        <v/>
      </c>
    </row>
    <row r="35" ht="15.75" customHeight="1">
      <c r="B35" s="26" t="s">
        <v>31</v>
      </c>
      <c r="C35" s="16"/>
      <c r="D35" s="16"/>
      <c r="E35" s="16"/>
      <c r="F35" s="18">
        <f t="shared" si="3"/>
        <v>0</v>
      </c>
      <c r="G35" s="27">
        <f t="shared" si="4"/>
        <v>0</v>
      </c>
      <c r="H35" s="28">
        <f t="shared" si="5"/>
        <v>0</v>
      </c>
      <c r="I35" s="29">
        <f t="shared" si="6"/>
        <v>0</v>
      </c>
      <c r="J35" s="30">
        <f>I70</f>
        <v>0</v>
      </c>
      <c r="L35" s="16"/>
      <c r="M35" s="28" t="str">
        <f t="shared" si="7"/>
        <v/>
      </c>
      <c r="N35" s="28" t="str">
        <f t="shared" si="8"/>
        <v/>
      </c>
      <c r="O35" s="31" t="str">
        <f t="shared" si="9"/>
        <v/>
      </c>
      <c r="P35" s="32" t="str">
        <f t="shared" si="10"/>
        <v/>
      </c>
    </row>
    <row r="36" ht="15.75" customHeight="1">
      <c r="B36" s="26" t="s">
        <v>32</v>
      </c>
      <c r="C36" s="16"/>
      <c r="D36" s="16"/>
      <c r="E36" s="16"/>
      <c r="F36" s="18">
        <f t="shared" si="3"/>
        <v>0</v>
      </c>
      <c r="G36" s="27">
        <f t="shared" si="4"/>
        <v>0</v>
      </c>
      <c r="H36" s="28">
        <f t="shared" si="5"/>
        <v>0</v>
      </c>
      <c r="I36" s="29">
        <f t="shared" si="6"/>
        <v>0</v>
      </c>
      <c r="J36" s="30">
        <f>I81</f>
        <v>0</v>
      </c>
      <c r="L36" s="16"/>
      <c r="M36" s="28" t="str">
        <f t="shared" si="7"/>
        <v/>
      </c>
      <c r="N36" s="28" t="str">
        <f t="shared" si="8"/>
        <v/>
      </c>
      <c r="O36" s="31" t="str">
        <f t="shared" si="9"/>
        <v/>
      </c>
      <c r="P36" s="32" t="str">
        <f t="shared" si="10"/>
        <v/>
      </c>
    </row>
    <row r="37" ht="15.75" customHeight="1">
      <c r="B37" s="26" t="s">
        <v>33</v>
      </c>
      <c r="C37" s="16"/>
      <c r="D37" s="16"/>
      <c r="E37" s="16"/>
      <c r="F37" s="18">
        <f t="shared" si="3"/>
        <v>0</v>
      </c>
      <c r="G37" s="27">
        <f t="shared" si="4"/>
        <v>0</v>
      </c>
      <c r="H37" s="28">
        <f t="shared" si="5"/>
        <v>0</v>
      </c>
      <c r="I37" s="29">
        <f t="shared" si="6"/>
        <v>0</v>
      </c>
      <c r="J37" s="30">
        <f>I92</f>
        <v>0</v>
      </c>
      <c r="L37" s="16"/>
      <c r="M37" s="28" t="str">
        <f t="shared" si="7"/>
        <v/>
      </c>
      <c r="N37" s="28" t="str">
        <f t="shared" si="8"/>
        <v/>
      </c>
      <c r="O37" s="31" t="str">
        <f t="shared" si="9"/>
        <v/>
      </c>
      <c r="P37" s="32" t="str">
        <f t="shared" si="10"/>
        <v/>
      </c>
    </row>
    <row r="38" ht="15.75" customHeight="1">
      <c r="B38" s="26" t="s">
        <v>34</v>
      </c>
      <c r="C38" s="16"/>
      <c r="D38" s="16"/>
      <c r="E38" s="16"/>
      <c r="F38" s="18">
        <f t="shared" si="3"/>
        <v>0</v>
      </c>
      <c r="G38" s="27">
        <f t="shared" si="4"/>
        <v>0</v>
      </c>
      <c r="H38" s="28">
        <f t="shared" si="5"/>
        <v>0</v>
      </c>
      <c r="I38" s="29">
        <f t="shared" si="6"/>
        <v>0</v>
      </c>
      <c r="J38" s="30">
        <f>I103</f>
        <v>0</v>
      </c>
      <c r="L38" s="16"/>
      <c r="M38" s="28" t="str">
        <f t="shared" si="7"/>
        <v/>
      </c>
      <c r="N38" s="28" t="str">
        <f t="shared" si="8"/>
        <v/>
      </c>
      <c r="O38" s="31" t="str">
        <f t="shared" si="9"/>
        <v/>
      </c>
      <c r="P38" s="32" t="str">
        <f t="shared" si="10"/>
        <v/>
      </c>
    </row>
    <row r="39" ht="15.75" customHeight="1">
      <c r="B39" s="26" t="s">
        <v>35</v>
      </c>
      <c r="C39" s="16"/>
      <c r="D39" s="16"/>
      <c r="E39" s="16"/>
      <c r="F39" s="18">
        <f t="shared" si="3"/>
        <v>0</v>
      </c>
      <c r="G39" s="27">
        <f t="shared" si="4"/>
        <v>0</v>
      </c>
      <c r="H39" s="28">
        <f t="shared" si="5"/>
        <v>0</v>
      </c>
      <c r="I39" s="29">
        <f t="shared" si="6"/>
        <v>0</v>
      </c>
      <c r="J39" s="30">
        <f>I114</f>
        <v>0</v>
      </c>
      <c r="L39" s="16"/>
      <c r="M39" s="28" t="str">
        <f t="shared" si="7"/>
        <v/>
      </c>
      <c r="N39" s="28" t="str">
        <f t="shared" si="8"/>
        <v/>
      </c>
      <c r="O39" s="31" t="str">
        <f t="shared" si="9"/>
        <v/>
      </c>
      <c r="P39" s="32" t="str">
        <f t="shared" si="10"/>
        <v/>
      </c>
    </row>
    <row r="40" ht="15.75" customHeight="1">
      <c r="B40" s="26" t="s">
        <v>36</v>
      </c>
      <c r="C40" s="16"/>
      <c r="D40" s="16"/>
      <c r="E40" s="16"/>
      <c r="F40" s="18">
        <f t="shared" si="3"/>
        <v>0</v>
      </c>
      <c r="G40" s="27">
        <f t="shared" si="4"/>
        <v>0</v>
      </c>
      <c r="H40" s="28">
        <f t="shared" si="5"/>
        <v>0</v>
      </c>
      <c r="I40" s="29">
        <f t="shared" si="6"/>
        <v>0</v>
      </c>
      <c r="J40" s="30">
        <f>I125</f>
        <v>0</v>
      </c>
      <c r="L40" s="16"/>
      <c r="M40" s="28" t="str">
        <f t="shared" si="7"/>
        <v/>
      </c>
      <c r="N40" s="28" t="str">
        <f t="shared" si="8"/>
        <v/>
      </c>
      <c r="O40" s="31" t="str">
        <f t="shared" si="9"/>
        <v/>
      </c>
      <c r="P40" s="32" t="str">
        <f t="shared" si="10"/>
        <v/>
      </c>
    </row>
    <row r="41" ht="15.75" customHeight="1">
      <c r="B41" s="26" t="s">
        <v>37</v>
      </c>
      <c r="C41" s="16"/>
      <c r="D41" s="16"/>
      <c r="E41" s="16"/>
      <c r="F41" s="18">
        <f t="shared" si="3"/>
        <v>0</v>
      </c>
      <c r="G41" s="27">
        <f t="shared" si="4"/>
        <v>0</v>
      </c>
      <c r="H41" s="28">
        <f t="shared" si="5"/>
        <v>0</v>
      </c>
      <c r="I41" s="29">
        <f t="shared" si="6"/>
        <v>0</v>
      </c>
      <c r="J41" s="30">
        <f>I136</f>
        <v>0</v>
      </c>
      <c r="L41" s="16"/>
      <c r="M41" s="28" t="str">
        <f t="shared" si="7"/>
        <v/>
      </c>
      <c r="N41" s="28" t="str">
        <f t="shared" si="8"/>
        <v/>
      </c>
      <c r="O41" s="31" t="str">
        <f t="shared" si="9"/>
        <v/>
      </c>
      <c r="P41" s="32" t="str">
        <f t="shared" si="10"/>
        <v/>
      </c>
    </row>
    <row r="42" ht="15.75" customHeight="1">
      <c r="B42" s="26" t="s">
        <v>38</v>
      </c>
      <c r="C42" s="16"/>
      <c r="D42" s="16"/>
      <c r="E42" s="16"/>
      <c r="F42" s="18">
        <f t="shared" si="3"/>
        <v>0</v>
      </c>
      <c r="G42" s="27">
        <f t="shared" si="4"/>
        <v>0</v>
      </c>
      <c r="H42" s="28">
        <f t="shared" si="5"/>
        <v>0</v>
      </c>
      <c r="I42" s="29">
        <f t="shared" si="6"/>
        <v>0</v>
      </c>
      <c r="J42" s="30">
        <f>I147</f>
        <v>0</v>
      </c>
      <c r="L42" s="16"/>
      <c r="M42" s="28" t="str">
        <f t="shared" si="7"/>
        <v/>
      </c>
      <c r="N42" s="28" t="str">
        <f t="shared" si="8"/>
        <v/>
      </c>
      <c r="O42" s="31" t="str">
        <f t="shared" si="9"/>
        <v/>
      </c>
      <c r="P42" s="32" t="str">
        <f t="shared" si="10"/>
        <v/>
      </c>
    </row>
    <row r="43" ht="15.75" customHeight="1">
      <c r="B43" s="33" t="s">
        <v>39</v>
      </c>
      <c r="C43" s="34"/>
      <c r="D43" s="10"/>
      <c r="E43" s="20">
        <f t="shared" ref="E43:H43" si="11">SUM(E33:E42)</f>
        <v>0</v>
      </c>
      <c r="F43" s="20">
        <f t="shared" si="11"/>
        <v>0</v>
      </c>
      <c r="G43" s="35">
        <f t="shared" si="11"/>
        <v>0</v>
      </c>
      <c r="H43" s="35">
        <f t="shared" si="11"/>
        <v>0</v>
      </c>
      <c r="I43" s="20" t="s">
        <v>13</v>
      </c>
      <c r="J43" s="35">
        <f>SUM(J33:J42)</f>
        <v>0</v>
      </c>
    </row>
    <row r="44" ht="15.75" customHeight="1"/>
    <row r="45" ht="15.75" customHeight="1"/>
    <row r="46" ht="15.75" customHeight="1">
      <c r="B46" s="36" t="str">
        <f> "REGISTRO DE DESCARGAS (8 HORAS) - " &amp; IF(F4="", "DÍA NO DEFINIDO", CHOOSE(WEEKDAY(F4, 2), "LUNES", "MARTES", "MIÉRCOLES", "JUEVES", "VIERNES", "SÁBADO", "DOMINGO"))</f>
        <v>REGISTRO DE DESCARGAS (8 HORAS) - DÍA NO DEFINIDO</v>
      </c>
      <c r="C46" s="14"/>
      <c r="D46" s="14"/>
      <c r="E46" s="14"/>
      <c r="F46" s="14"/>
      <c r="G46" s="14"/>
      <c r="H46" s="14"/>
      <c r="I46" s="14"/>
    </row>
    <row r="47" ht="15.75" customHeight="1"/>
    <row r="48" ht="15.75" customHeight="1">
      <c r="B48" s="37" t="s">
        <v>40</v>
      </c>
      <c r="C48" s="10"/>
      <c r="D48" s="38" t="s">
        <v>41</v>
      </c>
      <c r="E48" s="10"/>
      <c r="F48" s="39">
        <f>G33</f>
        <v>0</v>
      </c>
      <c r="G48" s="38" t="s">
        <v>42</v>
      </c>
      <c r="H48" s="10"/>
      <c r="I48" s="39">
        <f>SUM(I50:I57)</f>
        <v>0</v>
      </c>
    </row>
    <row r="49" ht="15.75" customHeight="1">
      <c r="B49" s="40" t="s">
        <v>43</v>
      </c>
      <c r="C49" s="40" t="s">
        <v>44</v>
      </c>
      <c r="D49" s="40" t="s">
        <v>8</v>
      </c>
      <c r="E49" s="40" t="s">
        <v>45</v>
      </c>
      <c r="F49" s="40" t="s">
        <v>46</v>
      </c>
      <c r="G49" s="40" t="s">
        <v>47</v>
      </c>
      <c r="H49" s="40" t="s">
        <v>48</v>
      </c>
      <c r="I49" s="40" t="s">
        <v>49</v>
      </c>
    </row>
    <row r="50" ht="15.75" customHeight="1">
      <c r="B50" s="41">
        <v>1.0</v>
      </c>
      <c r="C50" s="18" t="s">
        <v>50</v>
      </c>
      <c r="D50" s="18" t="str">
        <f>IF(D33="","", D33)</f>
        <v/>
      </c>
      <c r="E50" s="41"/>
      <c r="F50" s="41"/>
      <c r="G50" s="41"/>
      <c r="H50" s="41"/>
      <c r="I50" s="42" t="str">
        <f t="shared" ref="I50:I57" si="12">IF(E50="","", E50 - ((IF(F50="",0,F50) * IF(G50="",0,G50)) + IF(H50="",0,H50)))</f>
        <v/>
      </c>
    </row>
    <row r="51" ht="15.75" customHeight="1">
      <c r="B51" s="41">
        <v>2.0</v>
      </c>
      <c r="C51" s="18" t="s">
        <v>50</v>
      </c>
      <c r="D51" s="18" t="str">
        <f>IF(D33="","", D33)</f>
        <v/>
      </c>
      <c r="E51" s="41"/>
      <c r="F51" s="41"/>
      <c r="G51" s="41"/>
      <c r="H51" s="41"/>
      <c r="I51" s="42" t="str">
        <f t="shared" si="12"/>
        <v/>
      </c>
    </row>
    <row r="52" ht="15.75" customHeight="1">
      <c r="B52" s="41">
        <v>3.0</v>
      </c>
      <c r="C52" s="18" t="s">
        <v>50</v>
      </c>
      <c r="D52" s="18" t="str">
        <f>IF(D33="","", D33)</f>
        <v/>
      </c>
      <c r="E52" s="41"/>
      <c r="F52" s="41"/>
      <c r="G52" s="41"/>
      <c r="H52" s="41"/>
      <c r="I52" s="42" t="str">
        <f t="shared" si="12"/>
        <v/>
      </c>
    </row>
    <row r="53" ht="15.75" customHeight="1">
      <c r="B53" s="41">
        <v>4.0</v>
      </c>
      <c r="C53" s="18" t="s">
        <v>50</v>
      </c>
      <c r="D53" s="18" t="str">
        <f>IF(D33="","", D33)</f>
        <v/>
      </c>
      <c r="E53" s="41"/>
      <c r="F53" s="41"/>
      <c r="G53" s="41"/>
      <c r="H53" s="41"/>
      <c r="I53" s="42" t="str">
        <f t="shared" si="12"/>
        <v/>
      </c>
    </row>
    <row r="54" ht="15.75" customHeight="1">
      <c r="B54" s="45">
        <v>1.0</v>
      </c>
      <c r="C54" s="46" t="s">
        <v>51</v>
      </c>
      <c r="D54" s="46" t="str">
        <f>IF(D33="","", D33)</f>
        <v/>
      </c>
      <c r="E54" s="45"/>
      <c r="F54" s="45"/>
      <c r="G54" s="45"/>
      <c r="H54" s="45"/>
      <c r="I54" s="29" t="str">
        <f t="shared" si="12"/>
        <v/>
      </c>
    </row>
    <row r="55" ht="15.75" customHeight="1">
      <c r="B55" s="45">
        <v>2.0</v>
      </c>
      <c r="C55" s="46" t="s">
        <v>51</v>
      </c>
      <c r="D55" s="46" t="str">
        <f>IF(D33="","", D33)</f>
        <v/>
      </c>
      <c r="E55" s="45"/>
      <c r="F55" s="45"/>
      <c r="G55" s="45"/>
      <c r="H55" s="45"/>
      <c r="I55" s="29" t="str">
        <f t="shared" si="12"/>
        <v/>
      </c>
    </row>
    <row r="56" ht="15.75" customHeight="1">
      <c r="B56" s="45">
        <v>3.0</v>
      </c>
      <c r="C56" s="46" t="s">
        <v>51</v>
      </c>
      <c r="D56" s="46" t="str">
        <f>IF(D33="","", D33)</f>
        <v/>
      </c>
      <c r="E56" s="45"/>
      <c r="F56" s="45"/>
      <c r="G56" s="45"/>
      <c r="H56" s="45"/>
      <c r="I56" s="29" t="str">
        <f t="shared" si="12"/>
        <v/>
      </c>
    </row>
    <row r="57" ht="15.75" customHeight="1">
      <c r="B57" s="45">
        <v>4.0</v>
      </c>
      <c r="C57" s="46" t="s">
        <v>51</v>
      </c>
      <c r="D57" s="46" t="str">
        <f>IF(D33="","", D33)</f>
        <v/>
      </c>
      <c r="E57" s="45"/>
      <c r="F57" s="45"/>
      <c r="G57" s="45"/>
      <c r="H57" s="45"/>
      <c r="I57" s="29" t="str">
        <f t="shared" si="12"/>
        <v/>
      </c>
    </row>
    <row r="58" ht="15.75" customHeight="1"/>
    <row r="59" ht="15.75" customHeight="1">
      <c r="B59" s="37" t="s">
        <v>52</v>
      </c>
      <c r="C59" s="10"/>
      <c r="D59" s="38" t="s">
        <v>41</v>
      </c>
      <c r="E59" s="10"/>
      <c r="F59" s="39">
        <f>G34</f>
        <v>0</v>
      </c>
      <c r="G59" s="38" t="s">
        <v>42</v>
      </c>
      <c r="H59" s="10"/>
      <c r="I59" s="39">
        <f>SUM(I61:I68)</f>
        <v>0</v>
      </c>
    </row>
    <row r="60" ht="15.75" customHeight="1">
      <c r="B60" s="40" t="s">
        <v>43</v>
      </c>
      <c r="C60" s="40" t="s">
        <v>44</v>
      </c>
      <c r="D60" s="40" t="s">
        <v>8</v>
      </c>
      <c r="E60" s="40" t="s">
        <v>45</v>
      </c>
      <c r="F60" s="40" t="s">
        <v>46</v>
      </c>
      <c r="G60" s="40" t="s">
        <v>47</v>
      </c>
      <c r="H60" s="40" t="s">
        <v>48</v>
      </c>
      <c r="I60" s="40" t="s">
        <v>49</v>
      </c>
    </row>
    <row r="61" ht="15.75" customHeight="1">
      <c r="B61" s="41">
        <v>1.0</v>
      </c>
      <c r="C61" s="18" t="s">
        <v>50</v>
      </c>
      <c r="D61" s="18" t="str">
        <f>IF(D34="","", D34)</f>
        <v/>
      </c>
      <c r="E61" s="41"/>
      <c r="F61" s="41"/>
      <c r="G61" s="41"/>
      <c r="H61" s="41"/>
      <c r="I61" s="42" t="str">
        <f t="shared" ref="I61:I68" si="13">IF(E61="","", E61 - ((IF(F61="",0,F61) * IF(G61="",0,G61)) + IF(H61="",0,H61)))</f>
        <v/>
      </c>
    </row>
    <row r="62" ht="15.75" customHeight="1">
      <c r="B62" s="41">
        <v>2.0</v>
      </c>
      <c r="C62" s="18" t="s">
        <v>50</v>
      </c>
      <c r="D62" s="18" t="str">
        <f>IF(D34="","", D34)</f>
        <v/>
      </c>
      <c r="E62" s="41"/>
      <c r="F62" s="41"/>
      <c r="G62" s="41"/>
      <c r="H62" s="41"/>
      <c r="I62" s="42" t="str">
        <f t="shared" si="13"/>
        <v/>
      </c>
    </row>
    <row r="63" ht="15.75" customHeight="1">
      <c r="B63" s="41">
        <v>3.0</v>
      </c>
      <c r="C63" s="18" t="s">
        <v>50</v>
      </c>
      <c r="D63" s="18" t="str">
        <f>IF(D34="","", D34)</f>
        <v/>
      </c>
      <c r="E63" s="41"/>
      <c r="F63" s="41"/>
      <c r="G63" s="41"/>
      <c r="H63" s="41"/>
      <c r="I63" s="42" t="str">
        <f t="shared" si="13"/>
        <v/>
      </c>
    </row>
    <row r="64" ht="15.75" customHeight="1">
      <c r="B64" s="41">
        <v>4.0</v>
      </c>
      <c r="C64" s="18" t="s">
        <v>50</v>
      </c>
      <c r="D64" s="18" t="str">
        <f>IF(D34="","", D34)</f>
        <v/>
      </c>
      <c r="E64" s="41"/>
      <c r="F64" s="41"/>
      <c r="G64" s="41"/>
      <c r="H64" s="41"/>
      <c r="I64" s="42" t="str">
        <f t="shared" si="13"/>
        <v/>
      </c>
    </row>
    <row r="65" ht="15.75" customHeight="1">
      <c r="B65" s="45">
        <v>1.0</v>
      </c>
      <c r="C65" s="46" t="s">
        <v>51</v>
      </c>
      <c r="D65" s="46" t="str">
        <f>IF(D34="","", D34)</f>
        <v/>
      </c>
      <c r="E65" s="45"/>
      <c r="F65" s="45"/>
      <c r="G65" s="45"/>
      <c r="H65" s="45"/>
      <c r="I65" s="29" t="str">
        <f t="shared" si="13"/>
        <v/>
      </c>
    </row>
    <row r="66" ht="15.75" customHeight="1">
      <c r="B66" s="45">
        <v>2.0</v>
      </c>
      <c r="C66" s="46" t="s">
        <v>51</v>
      </c>
      <c r="D66" s="46" t="str">
        <f>IF(D34="","", D34)</f>
        <v/>
      </c>
      <c r="E66" s="45"/>
      <c r="F66" s="45"/>
      <c r="G66" s="45"/>
      <c r="H66" s="45"/>
      <c r="I66" s="29" t="str">
        <f t="shared" si="13"/>
        <v/>
      </c>
    </row>
    <row r="67" ht="15.75" customHeight="1">
      <c r="B67" s="45">
        <v>3.0</v>
      </c>
      <c r="C67" s="46" t="s">
        <v>51</v>
      </c>
      <c r="D67" s="46" t="str">
        <f>IF(D34="","", D34)</f>
        <v/>
      </c>
      <c r="E67" s="45"/>
      <c r="F67" s="45"/>
      <c r="G67" s="45"/>
      <c r="H67" s="45"/>
      <c r="I67" s="29" t="str">
        <f t="shared" si="13"/>
        <v/>
      </c>
    </row>
    <row r="68" ht="15.75" customHeight="1">
      <c r="B68" s="45">
        <v>4.0</v>
      </c>
      <c r="C68" s="46" t="s">
        <v>51</v>
      </c>
      <c r="D68" s="46" t="str">
        <f>IF(D34="","", D34)</f>
        <v/>
      </c>
      <c r="E68" s="45"/>
      <c r="F68" s="45"/>
      <c r="G68" s="45"/>
      <c r="H68" s="45"/>
      <c r="I68" s="29" t="str">
        <f t="shared" si="13"/>
        <v/>
      </c>
    </row>
    <row r="69" ht="15.75" customHeight="1"/>
    <row r="70" ht="15.75" customHeight="1">
      <c r="B70" s="37" t="s">
        <v>53</v>
      </c>
      <c r="C70" s="10"/>
      <c r="D70" s="38" t="s">
        <v>41</v>
      </c>
      <c r="E70" s="10"/>
      <c r="F70" s="39">
        <f>G35</f>
        <v>0</v>
      </c>
      <c r="G70" s="38" t="s">
        <v>42</v>
      </c>
      <c r="H70" s="10"/>
      <c r="I70" s="39">
        <f>SUM(I72:I79)</f>
        <v>0</v>
      </c>
    </row>
    <row r="71" ht="15.75" customHeight="1">
      <c r="B71" s="40" t="s">
        <v>43</v>
      </c>
      <c r="C71" s="40" t="s">
        <v>44</v>
      </c>
      <c r="D71" s="40" t="s">
        <v>8</v>
      </c>
      <c r="E71" s="40" t="s">
        <v>45</v>
      </c>
      <c r="F71" s="40" t="s">
        <v>46</v>
      </c>
      <c r="G71" s="40" t="s">
        <v>47</v>
      </c>
      <c r="H71" s="40" t="s">
        <v>48</v>
      </c>
      <c r="I71" s="40" t="s">
        <v>49</v>
      </c>
    </row>
    <row r="72" ht="15.75" customHeight="1">
      <c r="B72" s="41">
        <v>1.0</v>
      </c>
      <c r="C72" s="18" t="s">
        <v>50</v>
      </c>
      <c r="D72" s="18" t="str">
        <f>IF(D35="","", D35)</f>
        <v/>
      </c>
      <c r="E72" s="41"/>
      <c r="F72" s="41"/>
      <c r="G72" s="41"/>
      <c r="H72" s="41"/>
      <c r="I72" s="42" t="str">
        <f t="shared" ref="I72:I79" si="14">IF(E72="","", E72 - ((IF(F72="",0,F72) * IF(G72="",0,G72)) + IF(H72="",0,H72)))</f>
        <v/>
      </c>
    </row>
    <row r="73" ht="15.75" customHeight="1">
      <c r="B73" s="41">
        <v>2.0</v>
      </c>
      <c r="C73" s="18" t="s">
        <v>50</v>
      </c>
      <c r="D73" s="18" t="str">
        <f>IF(D35="","", D35)</f>
        <v/>
      </c>
      <c r="E73" s="41"/>
      <c r="F73" s="41"/>
      <c r="G73" s="41"/>
      <c r="H73" s="41"/>
      <c r="I73" s="42" t="str">
        <f t="shared" si="14"/>
        <v/>
      </c>
    </row>
    <row r="74" ht="15.75" customHeight="1">
      <c r="B74" s="41">
        <v>3.0</v>
      </c>
      <c r="C74" s="18" t="s">
        <v>50</v>
      </c>
      <c r="D74" s="18" t="str">
        <f>IF(D35="","", D35)</f>
        <v/>
      </c>
      <c r="E74" s="41"/>
      <c r="F74" s="41"/>
      <c r="G74" s="41"/>
      <c r="H74" s="41"/>
      <c r="I74" s="42" t="str">
        <f t="shared" si="14"/>
        <v/>
      </c>
    </row>
    <row r="75" ht="15.75" customHeight="1">
      <c r="B75" s="41">
        <v>4.0</v>
      </c>
      <c r="C75" s="18" t="s">
        <v>50</v>
      </c>
      <c r="D75" s="18" t="str">
        <f>IF(D35="","", D35)</f>
        <v/>
      </c>
      <c r="E75" s="41"/>
      <c r="F75" s="41"/>
      <c r="G75" s="41"/>
      <c r="H75" s="41"/>
      <c r="I75" s="42" t="str">
        <f t="shared" si="14"/>
        <v/>
      </c>
    </row>
    <row r="76" ht="15.75" customHeight="1">
      <c r="B76" s="45">
        <v>1.0</v>
      </c>
      <c r="C76" s="46" t="s">
        <v>51</v>
      </c>
      <c r="D76" s="46" t="str">
        <f>IF(D35="","", D35)</f>
        <v/>
      </c>
      <c r="E76" s="45"/>
      <c r="F76" s="45"/>
      <c r="G76" s="45"/>
      <c r="H76" s="45"/>
      <c r="I76" s="29" t="str">
        <f t="shared" si="14"/>
        <v/>
      </c>
    </row>
    <row r="77" ht="15.75" customHeight="1">
      <c r="B77" s="45">
        <v>2.0</v>
      </c>
      <c r="C77" s="46" t="s">
        <v>51</v>
      </c>
      <c r="D77" s="46" t="str">
        <f>IF(D35="","", D35)</f>
        <v/>
      </c>
      <c r="E77" s="45"/>
      <c r="F77" s="45"/>
      <c r="G77" s="45"/>
      <c r="H77" s="45"/>
      <c r="I77" s="29" t="str">
        <f t="shared" si="14"/>
        <v/>
      </c>
    </row>
    <row r="78" ht="15.75" customHeight="1">
      <c r="B78" s="45">
        <v>3.0</v>
      </c>
      <c r="C78" s="46" t="s">
        <v>51</v>
      </c>
      <c r="D78" s="46" t="str">
        <f>IF(D35="","", D35)</f>
        <v/>
      </c>
      <c r="E78" s="45"/>
      <c r="F78" s="45"/>
      <c r="G78" s="45"/>
      <c r="H78" s="45"/>
      <c r="I78" s="29" t="str">
        <f t="shared" si="14"/>
        <v/>
      </c>
    </row>
    <row r="79" ht="15.75" customHeight="1">
      <c r="B79" s="45">
        <v>4.0</v>
      </c>
      <c r="C79" s="46" t="s">
        <v>51</v>
      </c>
      <c r="D79" s="46" t="str">
        <f>IF(D35="","", D35)</f>
        <v/>
      </c>
      <c r="E79" s="45"/>
      <c r="F79" s="45"/>
      <c r="G79" s="45"/>
      <c r="H79" s="45"/>
      <c r="I79" s="29" t="str">
        <f t="shared" si="14"/>
        <v/>
      </c>
    </row>
    <row r="80" ht="15.75" customHeight="1"/>
    <row r="81" ht="15.75" customHeight="1">
      <c r="B81" s="37" t="s">
        <v>54</v>
      </c>
      <c r="C81" s="10"/>
      <c r="D81" s="38" t="s">
        <v>41</v>
      </c>
      <c r="E81" s="10"/>
      <c r="F81" s="39">
        <f>G36</f>
        <v>0</v>
      </c>
      <c r="G81" s="38" t="s">
        <v>42</v>
      </c>
      <c r="H81" s="10"/>
      <c r="I81" s="39">
        <f>SUM(I83:I90)</f>
        <v>0</v>
      </c>
    </row>
    <row r="82" ht="15.75" customHeight="1">
      <c r="B82" s="40" t="s">
        <v>43</v>
      </c>
      <c r="C82" s="40" t="s">
        <v>44</v>
      </c>
      <c r="D82" s="40" t="s">
        <v>8</v>
      </c>
      <c r="E82" s="40" t="s">
        <v>45</v>
      </c>
      <c r="F82" s="40" t="s">
        <v>46</v>
      </c>
      <c r="G82" s="40" t="s">
        <v>47</v>
      </c>
      <c r="H82" s="40" t="s">
        <v>48</v>
      </c>
      <c r="I82" s="40" t="s">
        <v>49</v>
      </c>
    </row>
    <row r="83" ht="15.75" customHeight="1">
      <c r="B83" s="41">
        <v>1.0</v>
      </c>
      <c r="C83" s="18" t="s">
        <v>50</v>
      </c>
      <c r="D83" s="18" t="str">
        <f>IF(D36="","", D36)</f>
        <v/>
      </c>
      <c r="E83" s="41"/>
      <c r="F83" s="41"/>
      <c r="G83" s="41"/>
      <c r="H83" s="41"/>
      <c r="I83" s="42" t="str">
        <f t="shared" ref="I83:I90" si="15">IF(E83="","", E83 - ((IF(F83="",0,F83) * IF(G83="",0,G83)) + IF(H83="",0,H83)))</f>
        <v/>
      </c>
    </row>
    <row r="84" ht="15.75" customHeight="1">
      <c r="B84" s="41">
        <v>2.0</v>
      </c>
      <c r="C84" s="18" t="s">
        <v>50</v>
      </c>
      <c r="D84" s="18" t="str">
        <f>IF(D36="","", D36)</f>
        <v/>
      </c>
      <c r="E84" s="41"/>
      <c r="F84" s="41"/>
      <c r="G84" s="41"/>
      <c r="H84" s="41"/>
      <c r="I84" s="42" t="str">
        <f t="shared" si="15"/>
        <v/>
      </c>
    </row>
    <row r="85" ht="15.75" customHeight="1">
      <c r="B85" s="41">
        <v>3.0</v>
      </c>
      <c r="C85" s="18" t="s">
        <v>50</v>
      </c>
      <c r="D85" s="18" t="str">
        <f>IF(D36="","", D36)</f>
        <v/>
      </c>
      <c r="E85" s="41"/>
      <c r="F85" s="41"/>
      <c r="G85" s="41"/>
      <c r="H85" s="41"/>
      <c r="I85" s="42" t="str">
        <f t="shared" si="15"/>
        <v/>
      </c>
    </row>
    <row r="86" ht="15.75" customHeight="1">
      <c r="B86" s="41">
        <v>4.0</v>
      </c>
      <c r="C86" s="18" t="s">
        <v>50</v>
      </c>
      <c r="D86" s="18" t="str">
        <f>IF(D36="","", D36)</f>
        <v/>
      </c>
      <c r="E86" s="41"/>
      <c r="F86" s="41"/>
      <c r="G86" s="41"/>
      <c r="H86" s="41"/>
      <c r="I86" s="42" t="str">
        <f t="shared" si="15"/>
        <v/>
      </c>
    </row>
    <row r="87" ht="15.75" customHeight="1">
      <c r="B87" s="45">
        <v>1.0</v>
      </c>
      <c r="C87" s="46" t="s">
        <v>51</v>
      </c>
      <c r="D87" s="46" t="str">
        <f>IF(D36="","", D36)</f>
        <v/>
      </c>
      <c r="E87" s="45"/>
      <c r="F87" s="45"/>
      <c r="G87" s="45"/>
      <c r="H87" s="45"/>
      <c r="I87" s="29" t="str">
        <f t="shared" si="15"/>
        <v/>
      </c>
    </row>
    <row r="88" ht="15.75" customHeight="1">
      <c r="B88" s="45">
        <v>2.0</v>
      </c>
      <c r="C88" s="46" t="s">
        <v>51</v>
      </c>
      <c r="D88" s="46" t="str">
        <f>IF(D36="","", D36)</f>
        <v/>
      </c>
      <c r="E88" s="45"/>
      <c r="F88" s="45"/>
      <c r="G88" s="45"/>
      <c r="H88" s="45"/>
      <c r="I88" s="29" t="str">
        <f t="shared" si="15"/>
        <v/>
      </c>
    </row>
    <row r="89" ht="15.75" customHeight="1">
      <c r="B89" s="45">
        <v>3.0</v>
      </c>
      <c r="C89" s="46" t="s">
        <v>51</v>
      </c>
      <c r="D89" s="46" t="str">
        <f>IF(D36="","", D36)</f>
        <v/>
      </c>
      <c r="E89" s="45"/>
      <c r="F89" s="45"/>
      <c r="G89" s="45"/>
      <c r="H89" s="45"/>
      <c r="I89" s="29" t="str">
        <f t="shared" si="15"/>
        <v/>
      </c>
    </row>
    <row r="90" ht="15.75" customHeight="1">
      <c r="B90" s="45">
        <v>4.0</v>
      </c>
      <c r="C90" s="46" t="s">
        <v>51</v>
      </c>
      <c r="D90" s="46" t="str">
        <f>IF(D36="","", D36)</f>
        <v/>
      </c>
      <c r="E90" s="45"/>
      <c r="F90" s="45"/>
      <c r="G90" s="45"/>
      <c r="H90" s="45"/>
      <c r="I90" s="29" t="str">
        <f t="shared" si="15"/>
        <v/>
      </c>
    </row>
    <row r="91" ht="15.75" customHeight="1"/>
    <row r="92" ht="15.75" customHeight="1">
      <c r="B92" s="37" t="s">
        <v>55</v>
      </c>
      <c r="C92" s="10"/>
      <c r="D92" s="38" t="s">
        <v>41</v>
      </c>
      <c r="E92" s="10"/>
      <c r="F92" s="39">
        <f>G37</f>
        <v>0</v>
      </c>
      <c r="G92" s="38" t="s">
        <v>42</v>
      </c>
      <c r="H92" s="10"/>
      <c r="I92" s="39">
        <f>SUM(I94:I101)</f>
        <v>0</v>
      </c>
    </row>
    <row r="93" ht="15.75" customHeight="1">
      <c r="B93" s="40" t="s">
        <v>43</v>
      </c>
      <c r="C93" s="40" t="s">
        <v>44</v>
      </c>
      <c r="D93" s="40" t="s">
        <v>8</v>
      </c>
      <c r="E93" s="40" t="s">
        <v>45</v>
      </c>
      <c r="F93" s="40" t="s">
        <v>46</v>
      </c>
      <c r="G93" s="40" t="s">
        <v>47</v>
      </c>
      <c r="H93" s="40" t="s">
        <v>48</v>
      </c>
      <c r="I93" s="40" t="s">
        <v>49</v>
      </c>
    </row>
    <row r="94" ht="15.75" customHeight="1">
      <c r="B94" s="41">
        <v>1.0</v>
      </c>
      <c r="C94" s="18" t="s">
        <v>50</v>
      </c>
      <c r="D94" s="18" t="str">
        <f>IF(D37="","", D37)</f>
        <v/>
      </c>
      <c r="E94" s="41"/>
      <c r="F94" s="41"/>
      <c r="G94" s="41"/>
      <c r="H94" s="41"/>
      <c r="I94" s="42" t="str">
        <f t="shared" ref="I94:I101" si="16">IF(E94="","", E94 - ((IF(F94="",0,F94) * IF(G94="",0,G94)) + IF(H94="",0,H94)))</f>
        <v/>
      </c>
    </row>
    <row r="95" ht="15.75" customHeight="1">
      <c r="B95" s="41">
        <v>2.0</v>
      </c>
      <c r="C95" s="18" t="s">
        <v>50</v>
      </c>
      <c r="D95" s="18" t="str">
        <f>IF(D37="","", D37)</f>
        <v/>
      </c>
      <c r="E95" s="41"/>
      <c r="F95" s="41"/>
      <c r="G95" s="41"/>
      <c r="H95" s="41"/>
      <c r="I95" s="42" t="str">
        <f t="shared" si="16"/>
        <v/>
      </c>
    </row>
    <row r="96" ht="15.75" customHeight="1">
      <c r="B96" s="41">
        <v>3.0</v>
      </c>
      <c r="C96" s="18" t="s">
        <v>50</v>
      </c>
      <c r="D96" s="18" t="str">
        <f>IF(D37="","", D37)</f>
        <v/>
      </c>
      <c r="E96" s="41"/>
      <c r="F96" s="41"/>
      <c r="G96" s="41"/>
      <c r="H96" s="41"/>
      <c r="I96" s="42" t="str">
        <f t="shared" si="16"/>
        <v/>
      </c>
    </row>
    <row r="97" ht="15.75" customHeight="1">
      <c r="B97" s="41">
        <v>4.0</v>
      </c>
      <c r="C97" s="18" t="s">
        <v>50</v>
      </c>
      <c r="D97" s="18" t="str">
        <f>IF(D37="","", D37)</f>
        <v/>
      </c>
      <c r="E97" s="41"/>
      <c r="F97" s="41"/>
      <c r="G97" s="41"/>
      <c r="H97" s="41"/>
      <c r="I97" s="42" t="str">
        <f t="shared" si="16"/>
        <v/>
      </c>
    </row>
    <row r="98" ht="15.75" customHeight="1">
      <c r="B98" s="45">
        <v>1.0</v>
      </c>
      <c r="C98" s="46" t="s">
        <v>51</v>
      </c>
      <c r="D98" s="46" t="str">
        <f>IF(D37="","", D37)</f>
        <v/>
      </c>
      <c r="E98" s="45"/>
      <c r="F98" s="45"/>
      <c r="G98" s="45"/>
      <c r="H98" s="45"/>
      <c r="I98" s="29" t="str">
        <f t="shared" si="16"/>
        <v/>
      </c>
    </row>
    <row r="99" ht="15.75" customHeight="1">
      <c r="B99" s="45">
        <v>2.0</v>
      </c>
      <c r="C99" s="46" t="s">
        <v>51</v>
      </c>
      <c r="D99" s="46" t="str">
        <f>IF(D37="","", D37)</f>
        <v/>
      </c>
      <c r="E99" s="45"/>
      <c r="F99" s="45"/>
      <c r="G99" s="45"/>
      <c r="H99" s="45"/>
      <c r="I99" s="29" t="str">
        <f t="shared" si="16"/>
        <v/>
      </c>
    </row>
    <row r="100" ht="15.75" customHeight="1">
      <c r="B100" s="45">
        <v>3.0</v>
      </c>
      <c r="C100" s="46" t="s">
        <v>51</v>
      </c>
      <c r="D100" s="46" t="str">
        <f>IF(D37="","", D37)</f>
        <v/>
      </c>
      <c r="E100" s="45"/>
      <c r="F100" s="45"/>
      <c r="G100" s="45"/>
      <c r="H100" s="45"/>
      <c r="I100" s="29" t="str">
        <f t="shared" si="16"/>
        <v/>
      </c>
    </row>
    <row r="101" ht="15.75" customHeight="1">
      <c r="B101" s="45">
        <v>4.0</v>
      </c>
      <c r="C101" s="46" t="s">
        <v>51</v>
      </c>
      <c r="D101" s="46" t="str">
        <f>IF(D37="","", D37)</f>
        <v/>
      </c>
      <c r="E101" s="45"/>
      <c r="F101" s="45"/>
      <c r="G101" s="45"/>
      <c r="H101" s="45"/>
      <c r="I101" s="29" t="str">
        <f t="shared" si="16"/>
        <v/>
      </c>
    </row>
    <row r="102" ht="15.75" customHeight="1"/>
    <row r="103" ht="15.75" customHeight="1">
      <c r="B103" s="37" t="s">
        <v>56</v>
      </c>
      <c r="C103" s="10"/>
      <c r="D103" s="38" t="s">
        <v>41</v>
      </c>
      <c r="E103" s="10"/>
      <c r="F103" s="39">
        <f>G38</f>
        <v>0</v>
      </c>
      <c r="G103" s="38" t="s">
        <v>42</v>
      </c>
      <c r="H103" s="10"/>
      <c r="I103" s="39">
        <f>SUM(I105:I112)</f>
        <v>0</v>
      </c>
    </row>
    <row r="104" ht="15.75" customHeight="1">
      <c r="B104" s="40" t="s">
        <v>43</v>
      </c>
      <c r="C104" s="40" t="s">
        <v>44</v>
      </c>
      <c r="D104" s="40" t="s">
        <v>8</v>
      </c>
      <c r="E104" s="40" t="s">
        <v>45</v>
      </c>
      <c r="F104" s="40" t="s">
        <v>46</v>
      </c>
      <c r="G104" s="40" t="s">
        <v>47</v>
      </c>
      <c r="H104" s="40" t="s">
        <v>48</v>
      </c>
      <c r="I104" s="40" t="s">
        <v>49</v>
      </c>
    </row>
    <row r="105" ht="15.75" customHeight="1">
      <c r="B105" s="41">
        <v>1.0</v>
      </c>
      <c r="C105" s="18" t="s">
        <v>50</v>
      </c>
      <c r="D105" s="18" t="str">
        <f>IF(D38="","", D38)</f>
        <v/>
      </c>
      <c r="E105" s="41"/>
      <c r="F105" s="41"/>
      <c r="G105" s="41"/>
      <c r="H105" s="41"/>
      <c r="I105" s="42" t="str">
        <f t="shared" ref="I105:I112" si="17">IF(E105="","", E105 - ((IF(F105="",0,F105) * IF(G105="",0,G105)) + IF(H105="",0,H105)))</f>
        <v/>
      </c>
    </row>
    <row r="106" ht="15.75" customHeight="1">
      <c r="B106" s="41">
        <v>2.0</v>
      </c>
      <c r="C106" s="18" t="s">
        <v>50</v>
      </c>
      <c r="D106" s="18" t="str">
        <f>IF(D38="","", D38)</f>
        <v/>
      </c>
      <c r="E106" s="41"/>
      <c r="F106" s="41"/>
      <c r="G106" s="41"/>
      <c r="H106" s="41"/>
      <c r="I106" s="42" t="str">
        <f t="shared" si="17"/>
        <v/>
      </c>
    </row>
    <row r="107" ht="15.75" customHeight="1">
      <c r="B107" s="41">
        <v>3.0</v>
      </c>
      <c r="C107" s="18" t="s">
        <v>50</v>
      </c>
      <c r="D107" s="18" t="str">
        <f>IF(D38="","", D38)</f>
        <v/>
      </c>
      <c r="E107" s="41"/>
      <c r="F107" s="41"/>
      <c r="G107" s="41"/>
      <c r="H107" s="41"/>
      <c r="I107" s="42" t="str">
        <f t="shared" si="17"/>
        <v/>
      </c>
    </row>
    <row r="108" ht="15.75" customHeight="1">
      <c r="B108" s="41">
        <v>4.0</v>
      </c>
      <c r="C108" s="18" t="s">
        <v>50</v>
      </c>
      <c r="D108" s="18" t="str">
        <f>IF(D38="","", D38)</f>
        <v/>
      </c>
      <c r="E108" s="41"/>
      <c r="F108" s="41"/>
      <c r="G108" s="41"/>
      <c r="H108" s="41"/>
      <c r="I108" s="42" t="str">
        <f t="shared" si="17"/>
        <v/>
      </c>
    </row>
    <row r="109" ht="15.75" customHeight="1">
      <c r="B109" s="45">
        <v>1.0</v>
      </c>
      <c r="C109" s="46" t="s">
        <v>51</v>
      </c>
      <c r="D109" s="46" t="str">
        <f>IF(D38="","", D38)</f>
        <v/>
      </c>
      <c r="E109" s="45"/>
      <c r="F109" s="45"/>
      <c r="G109" s="45"/>
      <c r="H109" s="45"/>
      <c r="I109" s="29" t="str">
        <f t="shared" si="17"/>
        <v/>
      </c>
    </row>
    <row r="110" ht="15.75" customHeight="1">
      <c r="B110" s="45">
        <v>2.0</v>
      </c>
      <c r="C110" s="46" t="s">
        <v>51</v>
      </c>
      <c r="D110" s="46" t="str">
        <f>IF(D38="","", D38)</f>
        <v/>
      </c>
      <c r="E110" s="45"/>
      <c r="F110" s="45"/>
      <c r="G110" s="45"/>
      <c r="H110" s="45"/>
      <c r="I110" s="29" t="str">
        <f t="shared" si="17"/>
        <v/>
      </c>
    </row>
    <row r="111" ht="15.75" customHeight="1">
      <c r="B111" s="45">
        <v>3.0</v>
      </c>
      <c r="C111" s="46" t="s">
        <v>51</v>
      </c>
      <c r="D111" s="46" t="str">
        <f>IF(D38="","", D38)</f>
        <v/>
      </c>
      <c r="E111" s="45"/>
      <c r="F111" s="45"/>
      <c r="G111" s="45"/>
      <c r="H111" s="45"/>
      <c r="I111" s="29" t="str">
        <f t="shared" si="17"/>
        <v/>
      </c>
    </row>
    <row r="112" ht="15.75" customHeight="1">
      <c r="B112" s="45">
        <v>4.0</v>
      </c>
      <c r="C112" s="46" t="s">
        <v>51</v>
      </c>
      <c r="D112" s="46" t="str">
        <f>IF(D38="","", D38)</f>
        <v/>
      </c>
      <c r="E112" s="45"/>
      <c r="F112" s="45"/>
      <c r="G112" s="45"/>
      <c r="H112" s="45"/>
      <c r="I112" s="29" t="str">
        <f t="shared" si="17"/>
        <v/>
      </c>
    </row>
    <row r="113" ht="15.75" customHeight="1"/>
    <row r="114" ht="15.75" customHeight="1">
      <c r="B114" s="37" t="s">
        <v>57</v>
      </c>
      <c r="C114" s="10"/>
      <c r="D114" s="38" t="s">
        <v>41</v>
      </c>
      <c r="E114" s="10"/>
      <c r="F114" s="39">
        <f>G39</f>
        <v>0</v>
      </c>
      <c r="G114" s="38" t="s">
        <v>42</v>
      </c>
      <c r="H114" s="10"/>
      <c r="I114" s="39">
        <f>SUM(I116:I123)</f>
        <v>0</v>
      </c>
    </row>
    <row r="115" ht="15.75" customHeight="1">
      <c r="B115" s="40" t="s">
        <v>43</v>
      </c>
      <c r="C115" s="40" t="s">
        <v>44</v>
      </c>
      <c r="D115" s="40" t="s">
        <v>8</v>
      </c>
      <c r="E115" s="40" t="s">
        <v>45</v>
      </c>
      <c r="F115" s="40" t="s">
        <v>46</v>
      </c>
      <c r="G115" s="40" t="s">
        <v>47</v>
      </c>
      <c r="H115" s="40" t="s">
        <v>48</v>
      </c>
      <c r="I115" s="40" t="s">
        <v>49</v>
      </c>
    </row>
    <row r="116" ht="15.75" customHeight="1">
      <c r="B116" s="41">
        <v>1.0</v>
      </c>
      <c r="C116" s="18" t="s">
        <v>50</v>
      </c>
      <c r="D116" s="18" t="str">
        <f>IF(D39="","", D39)</f>
        <v/>
      </c>
      <c r="E116" s="41"/>
      <c r="F116" s="41"/>
      <c r="G116" s="41"/>
      <c r="H116" s="41"/>
      <c r="I116" s="42" t="str">
        <f t="shared" ref="I116:I123" si="18">IF(E116="","", E116 - ((IF(F116="",0,F116) * IF(G116="",0,G116)) + IF(H116="",0,H116)))</f>
        <v/>
      </c>
    </row>
    <row r="117" ht="15.75" customHeight="1">
      <c r="B117" s="41">
        <v>2.0</v>
      </c>
      <c r="C117" s="18" t="s">
        <v>50</v>
      </c>
      <c r="D117" s="18" t="str">
        <f>IF(D39="","", D39)</f>
        <v/>
      </c>
      <c r="E117" s="41"/>
      <c r="F117" s="41"/>
      <c r="G117" s="41"/>
      <c r="H117" s="41"/>
      <c r="I117" s="42" t="str">
        <f t="shared" si="18"/>
        <v/>
      </c>
    </row>
    <row r="118" ht="15.75" customHeight="1">
      <c r="B118" s="41">
        <v>3.0</v>
      </c>
      <c r="C118" s="18" t="s">
        <v>50</v>
      </c>
      <c r="D118" s="18" t="str">
        <f>IF(D39="","", D39)</f>
        <v/>
      </c>
      <c r="E118" s="41"/>
      <c r="F118" s="41"/>
      <c r="G118" s="41"/>
      <c r="H118" s="41"/>
      <c r="I118" s="42" t="str">
        <f t="shared" si="18"/>
        <v/>
      </c>
    </row>
    <row r="119" ht="15.75" customHeight="1">
      <c r="B119" s="41">
        <v>4.0</v>
      </c>
      <c r="C119" s="18" t="s">
        <v>50</v>
      </c>
      <c r="D119" s="18" t="str">
        <f>IF(D39="","", D39)</f>
        <v/>
      </c>
      <c r="E119" s="41"/>
      <c r="F119" s="41"/>
      <c r="G119" s="41"/>
      <c r="H119" s="41"/>
      <c r="I119" s="42" t="str">
        <f t="shared" si="18"/>
        <v/>
      </c>
    </row>
    <row r="120" ht="15.75" customHeight="1">
      <c r="B120" s="45">
        <v>1.0</v>
      </c>
      <c r="C120" s="46" t="s">
        <v>51</v>
      </c>
      <c r="D120" s="46" t="str">
        <f>IF(D39="","", D39)</f>
        <v/>
      </c>
      <c r="E120" s="45"/>
      <c r="F120" s="45"/>
      <c r="G120" s="45"/>
      <c r="H120" s="45"/>
      <c r="I120" s="29" t="str">
        <f t="shared" si="18"/>
        <v/>
      </c>
    </row>
    <row r="121" ht="15.75" customHeight="1">
      <c r="B121" s="45">
        <v>2.0</v>
      </c>
      <c r="C121" s="46" t="s">
        <v>51</v>
      </c>
      <c r="D121" s="46" t="str">
        <f>IF(D39="","", D39)</f>
        <v/>
      </c>
      <c r="E121" s="45"/>
      <c r="F121" s="45"/>
      <c r="G121" s="45"/>
      <c r="H121" s="45"/>
      <c r="I121" s="29" t="str">
        <f t="shared" si="18"/>
        <v/>
      </c>
    </row>
    <row r="122" ht="15.75" customHeight="1">
      <c r="B122" s="45">
        <v>3.0</v>
      </c>
      <c r="C122" s="46" t="s">
        <v>51</v>
      </c>
      <c r="D122" s="46" t="str">
        <f>IF(D39="","", D39)</f>
        <v/>
      </c>
      <c r="E122" s="45"/>
      <c r="F122" s="45"/>
      <c r="G122" s="45"/>
      <c r="H122" s="45"/>
      <c r="I122" s="29" t="str">
        <f t="shared" si="18"/>
        <v/>
      </c>
    </row>
    <row r="123" ht="15.75" customHeight="1">
      <c r="B123" s="45">
        <v>4.0</v>
      </c>
      <c r="C123" s="46" t="s">
        <v>51</v>
      </c>
      <c r="D123" s="46" t="str">
        <f>IF(D39="","", D39)</f>
        <v/>
      </c>
      <c r="E123" s="45"/>
      <c r="F123" s="45"/>
      <c r="G123" s="45"/>
      <c r="H123" s="45"/>
      <c r="I123" s="29" t="str">
        <f t="shared" si="18"/>
        <v/>
      </c>
    </row>
    <row r="124" ht="15.75" customHeight="1"/>
    <row r="125" ht="15.75" customHeight="1">
      <c r="B125" s="37" t="s">
        <v>58</v>
      </c>
      <c r="C125" s="10"/>
      <c r="D125" s="38" t="s">
        <v>41</v>
      </c>
      <c r="E125" s="10"/>
      <c r="F125" s="39">
        <f>G40</f>
        <v>0</v>
      </c>
      <c r="G125" s="38" t="s">
        <v>42</v>
      </c>
      <c r="H125" s="10"/>
      <c r="I125" s="39">
        <f>SUM(I127:I134)</f>
        <v>0</v>
      </c>
    </row>
    <row r="126" ht="15.75" customHeight="1">
      <c r="B126" s="40" t="s">
        <v>43</v>
      </c>
      <c r="C126" s="40" t="s">
        <v>44</v>
      </c>
      <c r="D126" s="40" t="s">
        <v>8</v>
      </c>
      <c r="E126" s="40" t="s">
        <v>45</v>
      </c>
      <c r="F126" s="40" t="s">
        <v>46</v>
      </c>
      <c r="G126" s="40" t="s">
        <v>47</v>
      </c>
      <c r="H126" s="40" t="s">
        <v>48</v>
      </c>
      <c r="I126" s="40" t="s">
        <v>49</v>
      </c>
    </row>
    <row r="127" ht="15.75" customHeight="1">
      <c r="B127" s="41">
        <v>1.0</v>
      </c>
      <c r="C127" s="18" t="s">
        <v>50</v>
      </c>
      <c r="D127" s="18" t="str">
        <f>IF(D40="","", D40)</f>
        <v/>
      </c>
      <c r="E127" s="41"/>
      <c r="F127" s="41"/>
      <c r="G127" s="41"/>
      <c r="H127" s="41"/>
      <c r="I127" s="42" t="str">
        <f t="shared" ref="I127:I134" si="19">IF(E127="","", E127 - ((IF(F127="",0,F127) * IF(G127="",0,G127)) + IF(H127="",0,H127)))</f>
        <v/>
      </c>
    </row>
    <row r="128" ht="15.75" customHeight="1">
      <c r="B128" s="41">
        <v>2.0</v>
      </c>
      <c r="C128" s="18" t="s">
        <v>50</v>
      </c>
      <c r="D128" s="18" t="str">
        <f>IF(D40="","", D40)</f>
        <v/>
      </c>
      <c r="E128" s="41"/>
      <c r="F128" s="41"/>
      <c r="G128" s="41"/>
      <c r="H128" s="41"/>
      <c r="I128" s="42" t="str">
        <f t="shared" si="19"/>
        <v/>
      </c>
    </row>
    <row r="129" ht="15.75" customHeight="1">
      <c r="B129" s="41">
        <v>3.0</v>
      </c>
      <c r="C129" s="18" t="s">
        <v>50</v>
      </c>
      <c r="D129" s="18" t="str">
        <f>IF(D40="","", D40)</f>
        <v/>
      </c>
      <c r="E129" s="41"/>
      <c r="F129" s="41"/>
      <c r="G129" s="41"/>
      <c r="H129" s="41"/>
      <c r="I129" s="42" t="str">
        <f t="shared" si="19"/>
        <v/>
      </c>
    </row>
    <row r="130" ht="15.75" customHeight="1">
      <c r="B130" s="41">
        <v>4.0</v>
      </c>
      <c r="C130" s="18" t="s">
        <v>50</v>
      </c>
      <c r="D130" s="18" t="str">
        <f>IF(D40="","", D40)</f>
        <v/>
      </c>
      <c r="E130" s="41"/>
      <c r="F130" s="41"/>
      <c r="G130" s="41"/>
      <c r="H130" s="41"/>
      <c r="I130" s="42" t="str">
        <f t="shared" si="19"/>
        <v/>
      </c>
    </row>
    <row r="131" ht="15.75" customHeight="1">
      <c r="B131" s="45">
        <v>1.0</v>
      </c>
      <c r="C131" s="46" t="s">
        <v>51</v>
      </c>
      <c r="D131" s="46" t="str">
        <f>IF(D40="","", D40)</f>
        <v/>
      </c>
      <c r="E131" s="45"/>
      <c r="F131" s="45"/>
      <c r="G131" s="45"/>
      <c r="H131" s="45"/>
      <c r="I131" s="29" t="str">
        <f t="shared" si="19"/>
        <v/>
      </c>
    </row>
    <row r="132" ht="15.75" customHeight="1">
      <c r="B132" s="45">
        <v>2.0</v>
      </c>
      <c r="C132" s="46" t="s">
        <v>51</v>
      </c>
      <c r="D132" s="46" t="str">
        <f>IF(D40="","", D40)</f>
        <v/>
      </c>
      <c r="E132" s="45"/>
      <c r="F132" s="45"/>
      <c r="G132" s="45"/>
      <c r="H132" s="45"/>
      <c r="I132" s="29" t="str">
        <f t="shared" si="19"/>
        <v/>
      </c>
    </row>
    <row r="133" ht="15.75" customHeight="1">
      <c r="B133" s="45">
        <v>3.0</v>
      </c>
      <c r="C133" s="46" t="s">
        <v>51</v>
      </c>
      <c r="D133" s="46" t="str">
        <f>IF(D40="","", D40)</f>
        <v/>
      </c>
      <c r="E133" s="45"/>
      <c r="F133" s="45"/>
      <c r="G133" s="45"/>
      <c r="H133" s="45"/>
      <c r="I133" s="29" t="str">
        <f t="shared" si="19"/>
        <v/>
      </c>
    </row>
    <row r="134" ht="15.75" customHeight="1">
      <c r="B134" s="45">
        <v>4.0</v>
      </c>
      <c r="C134" s="46" t="s">
        <v>51</v>
      </c>
      <c r="D134" s="46" t="str">
        <f>IF(D40="","", D40)</f>
        <v/>
      </c>
      <c r="E134" s="45"/>
      <c r="F134" s="45"/>
      <c r="G134" s="45"/>
      <c r="H134" s="45"/>
      <c r="I134" s="29" t="str">
        <f t="shared" si="19"/>
        <v/>
      </c>
    </row>
    <row r="135" ht="15.75" customHeight="1"/>
    <row r="136" ht="15.75" customHeight="1">
      <c r="B136" s="37" t="s">
        <v>59</v>
      </c>
      <c r="C136" s="10"/>
      <c r="D136" s="38" t="s">
        <v>41</v>
      </c>
      <c r="E136" s="10"/>
      <c r="F136" s="39">
        <f>G41</f>
        <v>0</v>
      </c>
      <c r="G136" s="38" t="s">
        <v>42</v>
      </c>
      <c r="H136" s="10"/>
      <c r="I136" s="39">
        <f>SUM(I138:I145)</f>
        <v>0</v>
      </c>
    </row>
    <row r="137" ht="15.75" customHeight="1">
      <c r="B137" s="40" t="s">
        <v>43</v>
      </c>
      <c r="C137" s="40" t="s">
        <v>44</v>
      </c>
      <c r="D137" s="40" t="s">
        <v>8</v>
      </c>
      <c r="E137" s="40" t="s">
        <v>45</v>
      </c>
      <c r="F137" s="40" t="s">
        <v>46</v>
      </c>
      <c r="G137" s="40" t="s">
        <v>47</v>
      </c>
      <c r="H137" s="40" t="s">
        <v>48</v>
      </c>
      <c r="I137" s="40" t="s">
        <v>49</v>
      </c>
    </row>
    <row r="138" ht="15.75" customHeight="1">
      <c r="B138" s="41">
        <v>1.0</v>
      </c>
      <c r="C138" s="18" t="s">
        <v>50</v>
      </c>
      <c r="D138" s="18" t="str">
        <f>IF(D41="","", D41)</f>
        <v/>
      </c>
      <c r="E138" s="41"/>
      <c r="F138" s="41"/>
      <c r="G138" s="41"/>
      <c r="H138" s="41"/>
      <c r="I138" s="42" t="str">
        <f t="shared" ref="I138:I145" si="20">IF(E138="","", E138 - ((IF(F138="",0,F138) * IF(G138="",0,G138)) + IF(H138="",0,H138)))</f>
        <v/>
      </c>
    </row>
    <row r="139" ht="15.75" customHeight="1">
      <c r="B139" s="41">
        <v>2.0</v>
      </c>
      <c r="C139" s="18" t="s">
        <v>50</v>
      </c>
      <c r="D139" s="18" t="str">
        <f>IF(D41="","", D41)</f>
        <v/>
      </c>
      <c r="E139" s="41"/>
      <c r="F139" s="41"/>
      <c r="G139" s="41"/>
      <c r="H139" s="41"/>
      <c r="I139" s="42" t="str">
        <f t="shared" si="20"/>
        <v/>
      </c>
    </row>
    <row r="140" ht="15.75" customHeight="1">
      <c r="B140" s="41">
        <v>3.0</v>
      </c>
      <c r="C140" s="18" t="s">
        <v>50</v>
      </c>
      <c r="D140" s="18" t="str">
        <f>IF(D41="","", D41)</f>
        <v/>
      </c>
      <c r="E140" s="41"/>
      <c r="F140" s="41"/>
      <c r="G140" s="41"/>
      <c r="H140" s="41"/>
      <c r="I140" s="42" t="str">
        <f t="shared" si="20"/>
        <v/>
      </c>
    </row>
    <row r="141" ht="15.75" customHeight="1">
      <c r="B141" s="41">
        <v>4.0</v>
      </c>
      <c r="C141" s="18" t="s">
        <v>50</v>
      </c>
      <c r="D141" s="18" t="str">
        <f>IF(D41="","", D41)</f>
        <v/>
      </c>
      <c r="E141" s="41"/>
      <c r="F141" s="41"/>
      <c r="G141" s="41"/>
      <c r="H141" s="41"/>
      <c r="I141" s="42" t="str">
        <f t="shared" si="20"/>
        <v/>
      </c>
    </row>
    <row r="142" ht="15.75" customHeight="1">
      <c r="B142" s="45">
        <v>1.0</v>
      </c>
      <c r="C142" s="46" t="s">
        <v>51</v>
      </c>
      <c r="D142" s="46" t="str">
        <f>IF(D41="","", D41)</f>
        <v/>
      </c>
      <c r="E142" s="45"/>
      <c r="F142" s="45"/>
      <c r="G142" s="45"/>
      <c r="H142" s="45"/>
      <c r="I142" s="29" t="str">
        <f t="shared" si="20"/>
        <v/>
      </c>
    </row>
    <row r="143" ht="15.75" customHeight="1">
      <c r="B143" s="45">
        <v>2.0</v>
      </c>
      <c r="C143" s="46" t="s">
        <v>51</v>
      </c>
      <c r="D143" s="46" t="str">
        <f>IF(D41="","", D41)</f>
        <v/>
      </c>
      <c r="E143" s="45"/>
      <c r="F143" s="45"/>
      <c r="G143" s="45"/>
      <c r="H143" s="45"/>
      <c r="I143" s="29" t="str">
        <f t="shared" si="20"/>
        <v/>
      </c>
    </row>
    <row r="144" ht="15.75" customHeight="1">
      <c r="B144" s="45">
        <v>3.0</v>
      </c>
      <c r="C144" s="46" t="s">
        <v>51</v>
      </c>
      <c r="D144" s="46" t="str">
        <f>IF(D41="","", D41)</f>
        <v/>
      </c>
      <c r="E144" s="45"/>
      <c r="F144" s="45"/>
      <c r="G144" s="45"/>
      <c r="H144" s="45"/>
      <c r="I144" s="29" t="str">
        <f t="shared" si="20"/>
        <v/>
      </c>
    </row>
    <row r="145" ht="15.75" customHeight="1">
      <c r="B145" s="45">
        <v>4.0</v>
      </c>
      <c r="C145" s="46" t="s">
        <v>51</v>
      </c>
      <c r="D145" s="46" t="str">
        <f>IF(D41="","", D41)</f>
        <v/>
      </c>
      <c r="E145" s="45"/>
      <c r="F145" s="45"/>
      <c r="G145" s="45"/>
      <c r="H145" s="45"/>
      <c r="I145" s="29" t="str">
        <f t="shared" si="20"/>
        <v/>
      </c>
    </row>
    <row r="146" ht="15.75" customHeight="1"/>
    <row r="147" ht="15.75" customHeight="1">
      <c r="B147" s="37" t="s">
        <v>60</v>
      </c>
      <c r="C147" s="10"/>
      <c r="D147" s="38" t="s">
        <v>41</v>
      </c>
      <c r="E147" s="10"/>
      <c r="F147" s="39">
        <f>G42</f>
        <v>0</v>
      </c>
      <c r="G147" s="38" t="s">
        <v>42</v>
      </c>
      <c r="H147" s="10"/>
      <c r="I147" s="39">
        <f>SUM(I149:I156)</f>
        <v>0</v>
      </c>
    </row>
    <row r="148" ht="15.75" customHeight="1">
      <c r="B148" s="40" t="s">
        <v>43</v>
      </c>
      <c r="C148" s="40" t="s">
        <v>44</v>
      </c>
      <c r="D148" s="40" t="s">
        <v>8</v>
      </c>
      <c r="E148" s="40" t="s">
        <v>45</v>
      </c>
      <c r="F148" s="40" t="s">
        <v>46</v>
      </c>
      <c r="G148" s="40" t="s">
        <v>47</v>
      </c>
      <c r="H148" s="40" t="s">
        <v>48</v>
      </c>
      <c r="I148" s="40" t="s">
        <v>49</v>
      </c>
    </row>
    <row r="149" ht="15.75" customHeight="1">
      <c r="B149" s="41">
        <v>1.0</v>
      </c>
      <c r="C149" s="18" t="s">
        <v>50</v>
      </c>
      <c r="D149" s="18" t="str">
        <f>IF(D42="","", D42)</f>
        <v/>
      </c>
      <c r="E149" s="41"/>
      <c r="F149" s="41"/>
      <c r="G149" s="41"/>
      <c r="H149" s="41"/>
      <c r="I149" s="42" t="str">
        <f t="shared" ref="I149:I156" si="21">IF(E149="","", E149 - ((IF(F149="",0,F149) * IF(G149="",0,G149)) + IF(H149="",0,H149)))</f>
        <v/>
      </c>
    </row>
    <row r="150" ht="15.75" customHeight="1">
      <c r="B150" s="41">
        <v>2.0</v>
      </c>
      <c r="C150" s="18" t="s">
        <v>50</v>
      </c>
      <c r="D150" s="18" t="str">
        <f>IF(D42="","", D42)</f>
        <v/>
      </c>
      <c r="E150" s="41"/>
      <c r="F150" s="41"/>
      <c r="G150" s="41"/>
      <c r="H150" s="41"/>
      <c r="I150" s="42" t="str">
        <f t="shared" si="21"/>
        <v/>
      </c>
    </row>
    <row r="151" ht="15.75" customHeight="1">
      <c r="B151" s="41">
        <v>3.0</v>
      </c>
      <c r="C151" s="18" t="s">
        <v>50</v>
      </c>
      <c r="D151" s="18" t="str">
        <f>IF(D42="","", D42)</f>
        <v/>
      </c>
      <c r="E151" s="41"/>
      <c r="F151" s="41"/>
      <c r="G151" s="41"/>
      <c r="H151" s="41"/>
      <c r="I151" s="42" t="str">
        <f t="shared" si="21"/>
        <v/>
      </c>
    </row>
    <row r="152" ht="15.75" customHeight="1">
      <c r="B152" s="41">
        <v>4.0</v>
      </c>
      <c r="C152" s="18" t="s">
        <v>50</v>
      </c>
      <c r="D152" s="18" t="str">
        <f>IF(D42="","", D42)</f>
        <v/>
      </c>
      <c r="E152" s="41"/>
      <c r="F152" s="41"/>
      <c r="G152" s="41"/>
      <c r="H152" s="41"/>
      <c r="I152" s="42" t="str">
        <f t="shared" si="21"/>
        <v/>
      </c>
    </row>
    <row r="153" ht="15.75" customHeight="1">
      <c r="B153" s="45">
        <v>1.0</v>
      </c>
      <c r="C153" s="46" t="s">
        <v>51</v>
      </c>
      <c r="D153" s="46" t="str">
        <f>IF(D42="","", D42)</f>
        <v/>
      </c>
      <c r="E153" s="45"/>
      <c r="F153" s="45"/>
      <c r="G153" s="45"/>
      <c r="H153" s="45"/>
      <c r="I153" s="29" t="str">
        <f t="shared" si="21"/>
        <v/>
      </c>
    </row>
    <row r="154" ht="15.75" customHeight="1">
      <c r="B154" s="45">
        <v>2.0</v>
      </c>
      <c r="C154" s="46" t="s">
        <v>51</v>
      </c>
      <c r="D154" s="46" t="str">
        <f>IF(D42="","", D42)</f>
        <v/>
      </c>
      <c r="E154" s="45"/>
      <c r="F154" s="45"/>
      <c r="G154" s="45"/>
      <c r="H154" s="45"/>
      <c r="I154" s="29" t="str">
        <f t="shared" si="21"/>
        <v/>
      </c>
    </row>
    <row r="155" ht="15.75" customHeight="1">
      <c r="B155" s="45">
        <v>3.0</v>
      </c>
      <c r="C155" s="46" t="s">
        <v>51</v>
      </c>
      <c r="D155" s="46" t="str">
        <f>IF(D42="","", D42)</f>
        <v/>
      </c>
      <c r="E155" s="45"/>
      <c r="F155" s="45"/>
      <c r="G155" s="45"/>
      <c r="H155" s="45"/>
      <c r="I155" s="29" t="str">
        <f t="shared" si="21"/>
        <v/>
      </c>
    </row>
    <row r="156" ht="15.75" customHeight="1">
      <c r="B156" s="45">
        <v>4.0</v>
      </c>
      <c r="C156" s="46" t="s">
        <v>51</v>
      </c>
      <c r="D156" s="46" t="str">
        <f>IF(D42="","", D42)</f>
        <v/>
      </c>
      <c r="E156" s="45"/>
      <c r="F156" s="45"/>
      <c r="G156" s="45"/>
      <c r="H156" s="45"/>
      <c r="I156" s="29" t="str">
        <f t="shared" si="21"/>
        <v/>
      </c>
    </row>
    <row r="157" ht="15.75" customHeight="1"/>
    <row r="158" ht="15.75" customHeight="1">
      <c r="B158" s="47" t="str">
        <f> "SUMATORIA TOTAL NETO DESCARGADO (" &amp; IF(F4="", "DÍA NO DEFINIDO", CHOOSE(WEEKDAY(F4, 2), "LUNES", "MARTES", "MIÉRCOLES", "JUEVES", "VIERNES", "SÁBADO", "DOMINGO")) &amp; "):"</f>
        <v>SUMATORIA TOTAL NETO DESCARGADO (DÍA NO DEFINIDO):</v>
      </c>
      <c r="C158" s="34"/>
      <c r="D158" s="34"/>
      <c r="E158" s="34"/>
      <c r="F158" s="34"/>
      <c r="G158" s="34"/>
      <c r="H158" s="10"/>
      <c r="I158" s="48">
        <f>I48+I59+I70+I81+I92+I103+I114+I125+I136+I147</f>
        <v>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C4"/>
    <mergeCell ref="D2:P2"/>
    <mergeCell ref="D4:E4"/>
    <mergeCell ref="F4:G4"/>
    <mergeCell ref="H4:I4"/>
    <mergeCell ref="J4:K4"/>
    <mergeCell ref="B8:C8"/>
    <mergeCell ref="E8:H8"/>
    <mergeCell ref="B31:J31"/>
    <mergeCell ref="L31:P31"/>
    <mergeCell ref="B43:D43"/>
    <mergeCell ref="B46:I46"/>
    <mergeCell ref="D48:E48"/>
    <mergeCell ref="G48:H48"/>
    <mergeCell ref="B48:C48"/>
    <mergeCell ref="B59:C59"/>
    <mergeCell ref="D59:E59"/>
    <mergeCell ref="G59:H59"/>
    <mergeCell ref="B70:C70"/>
    <mergeCell ref="D70:E70"/>
    <mergeCell ref="G70:H70"/>
    <mergeCell ref="D103:E103"/>
    <mergeCell ref="G103:H103"/>
    <mergeCell ref="B81:C81"/>
    <mergeCell ref="D81:E81"/>
    <mergeCell ref="G81:H81"/>
    <mergeCell ref="B92:C92"/>
    <mergeCell ref="D92:E92"/>
    <mergeCell ref="G92:H92"/>
    <mergeCell ref="B103:C103"/>
    <mergeCell ref="D136:E136"/>
    <mergeCell ref="G136:H136"/>
    <mergeCell ref="B147:C147"/>
    <mergeCell ref="D147:E147"/>
    <mergeCell ref="G147:H147"/>
    <mergeCell ref="B158:H158"/>
    <mergeCell ref="B114:C114"/>
    <mergeCell ref="D114:E114"/>
    <mergeCell ref="G114:H114"/>
    <mergeCell ref="B125:C125"/>
    <mergeCell ref="D125:E125"/>
    <mergeCell ref="G125:H125"/>
    <mergeCell ref="B136:C136"/>
  </mergeCells>
  <conditionalFormatting sqref="I48">
    <cfRule type="expression" dxfId="0" priority="1" stopIfTrue="1">
      <formula>AND(I48&lt;F48*0.5, F48&gt;0)</formula>
    </cfRule>
  </conditionalFormatting>
  <conditionalFormatting sqref="I48">
    <cfRule type="expression" dxfId="1" priority="2" stopIfTrue="1">
      <formula>AND(I48&gt;=F48*0.5, I48&lt;F48, F48&gt;0)</formula>
    </cfRule>
  </conditionalFormatting>
  <conditionalFormatting sqref="I48">
    <cfRule type="expression" dxfId="2" priority="3" stopIfTrue="1">
      <formula>AND(I48&gt;=F48, F48&gt;0)</formula>
    </cfRule>
  </conditionalFormatting>
  <conditionalFormatting sqref="I59">
    <cfRule type="expression" dxfId="0" priority="4" stopIfTrue="1">
      <formula>AND(I59&lt;F59*0.5, F59&gt;0)</formula>
    </cfRule>
  </conditionalFormatting>
  <conditionalFormatting sqref="I59">
    <cfRule type="expression" dxfId="1" priority="5" stopIfTrue="1">
      <formula>AND(I59&gt;=F59*0.5, I59&lt;F59, F59&gt;0)</formula>
    </cfRule>
  </conditionalFormatting>
  <conditionalFormatting sqref="I59">
    <cfRule type="expression" dxfId="2" priority="6" stopIfTrue="1">
      <formula>AND(I59&gt;=F59, F59&gt;0)</formula>
    </cfRule>
  </conditionalFormatting>
  <conditionalFormatting sqref="I70">
    <cfRule type="expression" dxfId="0" priority="7" stopIfTrue="1">
      <formula>AND(I70&lt;F70*0.5, F70&gt;0)</formula>
    </cfRule>
  </conditionalFormatting>
  <conditionalFormatting sqref="I70">
    <cfRule type="expression" dxfId="1" priority="8" stopIfTrue="1">
      <formula>AND(I70&gt;=F70*0.5, I70&lt;F70, F70&gt;0)</formula>
    </cfRule>
  </conditionalFormatting>
  <conditionalFormatting sqref="I70">
    <cfRule type="expression" dxfId="2" priority="9" stopIfTrue="1">
      <formula>AND(I70&gt;=F70, F70&gt;0)</formula>
    </cfRule>
  </conditionalFormatting>
  <conditionalFormatting sqref="I81">
    <cfRule type="expression" dxfId="0" priority="10" stopIfTrue="1">
      <formula>AND(I81&lt;F81*0.5, F81&gt;0)</formula>
    </cfRule>
  </conditionalFormatting>
  <conditionalFormatting sqref="I81">
    <cfRule type="expression" dxfId="1" priority="11" stopIfTrue="1">
      <formula>AND(I81&gt;=F81*0.5, I81&lt;F81, F81&gt;0)</formula>
    </cfRule>
  </conditionalFormatting>
  <conditionalFormatting sqref="I81">
    <cfRule type="expression" dxfId="2" priority="12" stopIfTrue="1">
      <formula>AND(I81&gt;=F81, F81&gt;0)</formula>
    </cfRule>
  </conditionalFormatting>
  <conditionalFormatting sqref="I92">
    <cfRule type="expression" dxfId="0" priority="13" stopIfTrue="1">
      <formula>AND(I92&lt;F92*0.5, F92&gt;0)</formula>
    </cfRule>
  </conditionalFormatting>
  <conditionalFormatting sqref="I92">
    <cfRule type="expression" dxfId="1" priority="14" stopIfTrue="1">
      <formula>AND(I92&gt;=F92*0.5, I92&lt;F92, F92&gt;0)</formula>
    </cfRule>
  </conditionalFormatting>
  <conditionalFormatting sqref="I92">
    <cfRule type="expression" dxfId="2" priority="15" stopIfTrue="1">
      <formula>AND(I92&gt;=F92, F92&gt;0)</formula>
    </cfRule>
  </conditionalFormatting>
  <conditionalFormatting sqref="I103">
    <cfRule type="expression" dxfId="0" priority="16" stopIfTrue="1">
      <formula>AND(I103&lt;F103*0.5, F103&gt;0)</formula>
    </cfRule>
  </conditionalFormatting>
  <conditionalFormatting sqref="I103">
    <cfRule type="expression" dxfId="1" priority="17" stopIfTrue="1">
      <formula>AND(I103&gt;=F103*0.5, I103&lt;F103, F103&gt;0)</formula>
    </cfRule>
  </conditionalFormatting>
  <conditionalFormatting sqref="I103">
    <cfRule type="expression" dxfId="2" priority="18" stopIfTrue="1">
      <formula>AND(I103&gt;=F103, F103&gt;0)</formula>
    </cfRule>
  </conditionalFormatting>
  <conditionalFormatting sqref="I114">
    <cfRule type="expression" dxfId="0" priority="19" stopIfTrue="1">
      <formula>AND(I114&lt;F114*0.5, F114&gt;0)</formula>
    </cfRule>
  </conditionalFormatting>
  <conditionalFormatting sqref="I114">
    <cfRule type="expression" dxfId="1" priority="20" stopIfTrue="1">
      <formula>AND(I114&gt;=F114*0.5, I114&lt;F114, F114&gt;0)</formula>
    </cfRule>
  </conditionalFormatting>
  <conditionalFormatting sqref="I114">
    <cfRule type="expression" dxfId="2" priority="21" stopIfTrue="1">
      <formula>AND(I114&gt;=F114, F114&gt;0)</formula>
    </cfRule>
  </conditionalFormatting>
  <conditionalFormatting sqref="I125">
    <cfRule type="expression" dxfId="0" priority="22" stopIfTrue="1">
      <formula>AND(I125&lt;F125*0.5, F125&gt;0)</formula>
    </cfRule>
  </conditionalFormatting>
  <conditionalFormatting sqref="I125">
    <cfRule type="expression" dxfId="1" priority="23" stopIfTrue="1">
      <formula>AND(I125&gt;=F125*0.5, I125&lt;F125, F125&gt;0)</formula>
    </cfRule>
  </conditionalFormatting>
  <conditionalFormatting sqref="I125">
    <cfRule type="expression" dxfId="2" priority="24" stopIfTrue="1">
      <formula>AND(I125&gt;=F125, F125&gt;0)</formula>
    </cfRule>
  </conditionalFormatting>
  <conditionalFormatting sqref="I136">
    <cfRule type="expression" dxfId="0" priority="25" stopIfTrue="1">
      <formula>AND(I136&lt;F136*0.5, F136&gt;0)</formula>
    </cfRule>
  </conditionalFormatting>
  <conditionalFormatting sqref="I136">
    <cfRule type="expression" dxfId="1" priority="26" stopIfTrue="1">
      <formula>AND(I136&gt;=F136*0.5, I136&lt;F136, F136&gt;0)</formula>
    </cfRule>
  </conditionalFormatting>
  <conditionalFormatting sqref="I136">
    <cfRule type="expression" dxfId="2" priority="27" stopIfTrue="1">
      <formula>AND(I136&gt;=F136, F136&gt;0)</formula>
    </cfRule>
  </conditionalFormatting>
  <conditionalFormatting sqref="I147">
    <cfRule type="expression" dxfId="0" priority="28" stopIfTrue="1">
      <formula>AND(I147&lt;F147*0.5, F147&gt;0)</formula>
    </cfRule>
  </conditionalFormatting>
  <conditionalFormatting sqref="I147">
    <cfRule type="expression" dxfId="1" priority="29" stopIfTrue="1">
      <formula>AND(I147&gt;=F147*0.5, I147&lt;F147, F147&gt;0)</formula>
    </cfRule>
  </conditionalFormatting>
  <conditionalFormatting sqref="I147">
    <cfRule type="expression" dxfId="2" priority="30" stopIfTrue="1">
      <formula>AND(I147&gt;=F147, F147&gt;0)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2026-09-03T02:10:31Z</dcterms:created>
  <dc:creator>openpyxl</dc:creator>
</cp:coreProperties>
</file>